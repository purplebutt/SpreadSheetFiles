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8394E07A-F32B-4DE3-9DAD-C44AF016E94F}" xr6:coauthVersionLast="36" xr6:coauthVersionMax="36" xr10:uidLastSave="{00000000-0000-0000-0000-000000000000}"/>
  <bookViews>
    <workbookView xWindow="0" yWindow="0" windowWidth="20400" windowHeight="9615" tabRatio="649" activeTab="12" xr2:uid="{00000000-000D-0000-FFFF-FFFF00000000}"/>
  </bookViews>
  <sheets>
    <sheet name="AG" sheetId="1" r:id="rId1"/>
    <sheet name="COAH" sheetId="2" r:id="rId2"/>
    <sheet name="COA" sheetId="6" r:id="rId3"/>
    <sheet name="CCF" sheetId="7" r:id="rId4"/>
    <sheet name="JB" sheetId="8" r:id="rId5"/>
    <sheet name="GJ" sheetId="9" r:id="rId6"/>
    <sheet name="LA" sheetId="20" r:id="rId7"/>
    <sheet name="IS" sheetId="13" r:id="rId8"/>
    <sheet name="BS" sheetId="14" r:id="rId9"/>
    <sheet name="CF" sheetId="19" r:id="rId10"/>
    <sheet name="EQ" sheetId="18" r:id="rId11"/>
    <sheet name="Date" sheetId="16" r:id="rId12"/>
    <sheet name="Setting" sheetId="10" r:id="rId13"/>
  </sheets>
  <definedNames>
    <definedName name="_xlcn.LinkedTable_AG1" hidden="1">AG[]</definedName>
    <definedName name="_xlcn.LinkedTable_CCF1" hidden="1">CCF[]</definedName>
    <definedName name="_xlcn.LinkedTable_COA1" hidden="1">COA[]</definedName>
    <definedName name="_xlcn.LinkedTable_COAH1" hidden="1">COAH[]</definedName>
    <definedName name="_xlcn.LinkedTable_Date1" hidden="1">Date[]</definedName>
    <definedName name="_xlcn.LinkedTable_GJ1" hidden="1">GJ[]</definedName>
    <definedName name="_xlcn.LinkedTable_JB1" hidden="1">JB[]</definedName>
    <definedName name="AccGroup">AG[Group]</definedName>
    <definedName name="accHeader">COAH[Account Header]</definedName>
    <definedName name="AccNumber">COA[AccNumber]</definedName>
    <definedName name="accountCode">LA!$G$4</definedName>
    <definedName name="BatchNumber">JB[Batch Number]</definedName>
    <definedName name="CFNumber">CCF[CF CODE]</definedName>
    <definedName name="endDate">LA!$F$4</definedName>
    <definedName name="normalBalance">LA!$G$2</definedName>
    <definedName name="setAlamatPerusahaan">Setting!$C$5</definedName>
    <definedName name="setNamaPerusahaan">Setting!$C$4</definedName>
    <definedName name="startDate">LA!$E$4</definedName>
  </definedNames>
  <calcPr calcId="191029"/>
  <pivotCaches>
    <pivotCache cacheId="0" r:id="rId14"/>
    <pivotCache cacheId="1" r:id="rId15"/>
    <pivotCache cacheId="2" r:id="rId16"/>
    <pivotCache cacheId="3" r:id="rId17"/>
  </pivotCaches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B" name="JB" connection="LinkedTable_JB"/>
          <x15:modelTable id="GJ" name="GJ" connection="LinkedTable_GJ"/>
          <x15:modelTable id="Date" name="Date" connection="LinkedTable_Date"/>
          <x15:modelTable id="COAH" name="COAH" connection="LinkedTable_COAH"/>
          <x15:modelTable id="COA" name="COA" connection="LinkedTable_COA"/>
          <x15:modelTable id="CCF" name="CCF" connection="LinkedTable_CCF"/>
          <x15:modelTable id="AG" name="AG" connection="LinkedTable_AG"/>
        </x15:modelTables>
        <x15:modelRelationships>
          <x15:modelRelationship fromTable="COAH" fromColumn="Account Group" toTable="AG" toColumn="Group"/>
          <x15:modelRelationship fromTable="COA" fromColumn="Header" toTable="COAH" toColumn="Account Header"/>
          <x15:modelRelationship fromTable="GJ" fromColumn="Acc Number" toTable="COA" toColumn="AccNumber"/>
          <x15:modelRelationship fromTable="GJ" fromColumn="Batch" toTable="JB" toColumn="Batch Number"/>
          <x15:modelRelationship fromTable="GJ" fromColumn="CashFlow" toTable="CCF" toColumn="CF CODE"/>
          <x15:modelRelationship fromTable="GJ" fromColumn="Date" toTable="Date" toColumn="DATE"/>
        </x15:modelRelationships>
      </x15:dataModel>
    </ext>
  </extLst>
</workbook>
</file>

<file path=xl/calcChain.xml><?xml version="1.0" encoding="utf-8"?>
<calcChain xmlns="http://schemas.openxmlformats.org/spreadsheetml/2006/main">
  <c r="B41" i="20" l="1"/>
  <c r="C41" i="20"/>
  <c r="D41" i="20"/>
  <c r="E41" i="20"/>
  <c r="F41" i="20"/>
  <c r="H41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2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2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2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2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2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2" i="20"/>
  <c r="G1" i="20"/>
  <c r="G2" i="20"/>
  <c r="B3" i="20"/>
  <c r="B2" i="20"/>
  <c r="B1" i="20"/>
  <c r="F43" i="20" l="1"/>
  <c r="E43" i="20"/>
  <c r="H43" i="20"/>
  <c r="B2" i="19"/>
  <c r="B1" i="19"/>
  <c r="B2" i="18"/>
  <c r="B1" i="18"/>
  <c r="C6" i="18" l="1"/>
  <c r="C12" i="18" s="1"/>
  <c r="D6" i="18" l="1"/>
  <c r="D12" i="18" s="1"/>
  <c r="I42" i="9"/>
  <c r="K42" i="9"/>
  <c r="I41" i="9"/>
  <c r="K41" i="9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E366" i="16" l="1"/>
  <c r="E364" i="16"/>
  <c r="E362" i="16"/>
  <c r="E360" i="16"/>
  <c r="E358" i="16"/>
  <c r="E356" i="16"/>
  <c r="E354" i="16"/>
  <c r="E352" i="16"/>
  <c r="E350" i="16"/>
  <c r="E348" i="16"/>
  <c r="E346" i="16"/>
  <c r="E344" i="16"/>
  <c r="E342" i="16"/>
  <c r="E340" i="16"/>
  <c r="E338" i="16"/>
  <c r="E336" i="16"/>
  <c r="E334" i="16"/>
  <c r="E332" i="16"/>
  <c r="E330" i="16"/>
  <c r="E328" i="16"/>
  <c r="E326" i="16"/>
  <c r="E324" i="16"/>
  <c r="E322" i="16"/>
  <c r="E320" i="16"/>
  <c r="E318" i="16"/>
  <c r="E365" i="16"/>
  <c r="E363" i="16"/>
  <c r="E361" i="16"/>
  <c r="E359" i="16"/>
  <c r="E357" i="16"/>
  <c r="E355" i="16"/>
  <c r="E353" i="16"/>
  <c r="E351" i="16"/>
  <c r="E349" i="16"/>
  <c r="E347" i="16"/>
  <c r="E345" i="16"/>
  <c r="E343" i="16"/>
  <c r="E341" i="16"/>
  <c r="E339" i="16"/>
  <c r="E337" i="16"/>
  <c r="E335" i="16"/>
  <c r="E333" i="16"/>
  <c r="E331" i="16"/>
  <c r="E329" i="16"/>
  <c r="E327" i="16"/>
  <c r="E325" i="16"/>
  <c r="E323" i="16"/>
  <c r="E321" i="16"/>
  <c r="E319" i="16"/>
  <c r="E317" i="16"/>
  <c r="E315" i="16"/>
  <c r="E313" i="16"/>
  <c r="E311" i="16"/>
  <c r="E309" i="16"/>
  <c r="E307" i="16"/>
  <c r="E305" i="16"/>
  <c r="E303" i="16"/>
  <c r="E301" i="16"/>
  <c r="E299" i="16"/>
  <c r="E297" i="16"/>
  <c r="E295" i="16"/>
  <c r="E293" i="16"/>
  <c r="E291" i="16"/>
  <c r="E289" i="16"/>
  <c r="E287" i="16"/>
  <c r="E285" i="16"/>
  <c r="E283" i="16"/>
  <c r="E281" i="16"/>
  <c r="E279" i="16"/>
  <c r="E277" i="16"/>
  <c r="E275" i="16"/>
  <c r="E273" i="16"/>
  <c r="E271" i="16"/>
  <c r="E269" i="16"/>
  <c r="E267" i="16"/>
  <c r="E265" i="16"/>
  <c r="E263" i="16"/>
  <c r="E261" i="16"/>
  <c r="E259" i="16"/>
  <c r="E257" i="16"/>
  <c r="E255" i="16"/>
  <c r="E253" i="16"/>
  <c r="E251" i="16"/>
  <c r="E249" i="16"/>
  <c r="E247" i="16"/>
  <c r="E245" i="16"/>
  <c r="E243" i="16"/>
  <c r="E241" i="16"/>
  <c r="E239" i="16"/>
  <c r="E237" i="16"/>
  <c r="E235" i="16"/>
  <c r="E233" i="16"/>
  <c r="E231" i="16"/>
  <c r="E229" i="16"/>
  <c r="E227" i="16"/>
  <c r="E225" i="16"/>
  <c r="E223" i="16"/>
  <c r="E221" i="16"/>
  <c r="E219" i="16"/>
  <c r="E217" i="16"/>
  <c r="E215" i="16"/>
  <c r="E213" i="16"/>
  <c r="E211" i="16"/>
  <c r="E209" i="16"/>
  <c r="E207" i="16"/>
  <c r="E205" i="16"/>
  <c r="E203" i="16"/>
  <c r="E201" i="16"/>
  <c r="E199" i="16"/>
  <c r="E197" i="16"/>
  <c r="E195" i="16"/>
  <c r="E193" i="16"/>
  <c r="E191" i="16"/>
  <c r="E189" i="16"/>
  <c r="E187" i="16"/>
  <c r="E185" i="16"/>
  <c r="E183" i="16"/>
  <c r="E181" i="16"/>
  <c r="E179" i="16"/>
  <c r="E177" i="16"/>
  <c r="E175" i="16"/>
  <c r="E173" i="16"/>
  <c r="E171" i="16"/>
  <c r="E169" i="16"/>
  <c r="E167" i="16"/>
  <c r="E165" i="16"/>
  <c r="E163" i="16"/>
  <c r="E161" i="16"/>
  <c r="E159" i="16"/>
  <c r="E157" i="16"/>
  <c r="E155" i="16"/>
  <c r="E153" i="16"/>
  <c r="E151" i="16"/>
  <c r="E149" i="16"/>
  <c r="E147" i="16"/>
  <c r="E145" i="16"/>
  <c r="E143" i="16"/>
  <c r="E141" i="16"/>
  <c r="E139" i="16"/>
  <c r="E137" i="16"/>
  <c r="E135" i="16"/>
  <c r="E133" i="16"/>
  <c r="E131" i="16"/>
  <c r="E129" i="16"/>
  <c r="E127" i="16"/>
  <c r="E125" i="16"/>
  <c r="E123" i="16"/>
  <c r="E121" i="16"/>
  <c r="E119" i="16"/>
  <c r="E117" i="16"/>
  <c r="E115" i="16"/>
  <c r="E113" i="16"/>
  <c r="E111" i="16"/>
  <c r="E109" i="16"/>
  <c r="E107" i="16"/>
  <c r="E105" i="16"/>
  <c r="E103" i="16"/>
  <c r="E101" i="16"/>
  <c r="E99" i="16"/>
  <c r="E97" i="16"/>
  <c r="E95" i="16"/>
  <c r="E93" i="16"/>
  <c r="E91" i="16"/>
  <c r="E89" i="16"/>
  <c r="E87" i="16"/>
  <c r="E85" i="16"/>
  <c r="E83" i="16"/>
  <c r="E81" i="16"/>
  <c r="E79" i="16"/>
  <c r="E77" i="16"/>
  <c r="E75" i="16"/>
  <c r="E73" i="16"/>
  <c r="E71" i="16"/>
  <c r="E69" i="16"/>
  <c r="E67" i="16"/>
  <c r="E65" i="16"/>
  <c r="E63" i="16"/>
  <c r="E61" i="16"/>
  <c r="E59" i="16"/>
  <c r="E57" i="16"/>
  <c r="E55" i="16"/>
  <c r="E53" i="16"/>
  <c r="E51" i="16"/>
  <c r="E49" i="16"/>
  <c r="E47" i="16"/>
  <c r="E45" i="16"/>
  <c r="E43" i="16"/>
  <c r="E41" i="16"/>
  <c r="E39" i="16"/>
  <c r="E37" i="16"/>
  <c r="E35" i="16"/>
  <c r="E33" i="16"/>
  <c r="E31" i="16"/>
  <c r="E29" i="16"/>
  <c r="E27" i="16"/>
  <c r="E25" i="16"/>
  <c r="E23" i="16"/>
  <c r="E21" i="16"/>
  <c r="E19" i="16"/>
  <c r="E17" i="16"/>
  <c r="E15" i="16"/>
  <c r="E13" i="16"/>
  <c r="E11" i="16"/>
  <c r="E9" i="16"/>
  <c r="E7" i="16"/>
  <c r="E5" i="16"/>
  <c r="E3" i="16"/>
  <c r="E316" i="16"/>
  <c r="E314" i="16"/>
  <c r="E312" i="16"/>
  <c r="E310" i="16"/>
  <c r="E308" i="16"/>
  <c r="E306" i="16"/>
  <c r="E304" i="16"/>
  <c r="E302" i="16"/>
  <c r="E300" i="16"/>
  <c r="E298" i="16"/>
  <c r="E296" i="16"/>
  <c r="E294" i="16"/>
  <c r="E292" i="16"/>
  <c r="E290" i="16"/>
  <c r="E288" i="16"/>
  <c r="E286" i="16"/>
  <c r="E284" i="16"/>
  <c r="E282" i="16"/>
  <c r="E280" i="16"/>
  <c r="E278" i="16"/>
  <c r="E276" i="16"/>
  <c r="E274" i="16"/>
  <c r="E272" i="16"/>
  <c r="E270" i="16"/>
  <c r="E268" i="16"/>
  <c r="E266" i="16"/>
  <c r="E264" i="16"/>
  <c r="E262" i="16"/>
  <c r="E260" i="16"/>
  <c r="E258" i="16"/>
  <c r="E256" i="16"/>
  <c r="E254" i="16"/>
  <c r="E252" i="16"/>
  <c r="E250" i="16"/>
  <c r="E248" i="16"/>
  <c r="E246" i="16"/>
  <c r="E244" i="16"/>
  <c r="E242" i="16"/>
  <c r="E240" i="16"/>
  <c r="E238" i="16"/>
  <c r="E236" i="16"/>
  <c r="E234" i="16"/>
  <c r="E232" i="16"/>
  <c r="E230" i="16"/>
  <c r="E228" i="16"/>
  <c r="E226" i="16"/>
  <c r="E224" i="16"/>
  <c r="E222" i="16"/>
  <c r="E220" i="16"/>
  <c r="E218" i="16"/>
  <c r="E216" i="16"/>
  <c r="E214" i="16"/>
  <c r="E212" i="16"/>
  <c r="E210" i="16"/>
  <c r="E208" i="16"/>
  <c r="E206" i="16"/>
  <c r="E204" i="16"/>
  <c r="E202" i="16"/>
  <c r="E200" i="16"/>
  <c r="E198" i="16"/>
  <c r="E196" i="16"/>
  <c r="E194" i="16"/>
  <c r="E192" i="16"/>
  <c r="E190" i="16"/>
  <c r="E188" i="16"/>
  <c r="E186" i="16"/>
  <c r="E184" i="16"/>
  <c r="E182" i="16"/>
  <c r="E180" i="16"/>
  <c r="E178" i="16"/>
  <c r="E176" i="16"/>
  <c r="E174" i="16"/>
  <c r="E172" i="16"/>
  <c r="E170" i="16"/>
  <c r="E168" i="16"/>
  <c r="E166" i="16"/>
  <c r="E164" i="16"/>
  <c r="E162" i="16"/>
  <c r="E160" i="16"/>
  <c r="E158" i="16"/>
  <c r="E156" i="16"/>
  <c r="E154" i="16"/>
  <c r="E152" i="16"/>
  <c r="E150" i="16"/>
  <c r="E148" i="16"/>
  <c r="E146" i="16"/>
  <c r="E144" i="16"/>
  <c r="E142" i="16"/>
  <c r="E140" i="16"/>
  <c r="E138" i="16"/>
  <c r="E136" i="16"/>
  <c r="E134" i="16"/>
  <c r="E132" i="16"/>
  <c r="E130" i="16"/>
  <c r="E128" i="16"/>
  <c r="E126" i="16"/>
  <c r="E124" i="16"/>
  <c r="E122" i="16"/>
  <c r="E120" i="16"/>
  <c r="E118" i="16"/>
  <c r="E116" i="16"/>
  <c r="E114" i="16"/>
  <c r="E112" i="16"/>
  <c r="E110" i="16"/>
  <c r="E108" i="16"/>
  <c r="E106" i="16"/>
  <c r="E104" i="16"/>
  <c r="E102" i="16"/>
  <c r="E100" i="16"/>
  <c r="E98" i="16"/>
  <c r="E96" i="16"/>
  <c r="E94" i="16"/>
  <c r="E92" i="16"/>
  <c r="E90" i="16"/>
  <c r="E88" i="16"/>
  <c r="E86" i="16"/>
  <c r="E84" i="16"/>
  <c r="E82" i="16"/>
  <c r="E80" i="16"/>
  <c r="E78" i="16"/>
  <c r="E76" i="16"/>
  <c r="E74" i="16"/>
  <c r="E72" i="16"/>
  <c r="E70" i="16"/>
  <c r="E68" i="16"/>
  <c r="E66" i="16"/>
  <c r="E64" i="16"/>
  <c r="E62" i="16"/>
  <c r="E60" i="16"/>
  <c r="E58" i="16"/>
  <c r="E56" i="16"/>
  <c r="E54" i="16"/>
  <c r="E52" i="16"/>
  <c r="E50" i="16"/>
  <c r="E48" i="16"/>
  <c r="E46" i="16"/>
  <c r="E44" i="16"/>
  <c r="E42" i="16"/>
  <c r="E40" i="16"/>
  <c r="E38" i="16"/>
  <c r="E36" i="16"/>
  <c r="E34" i="16"/>
  <c r="E32" i="16"/>
  <c r="E30" i="16"/>
  <c r="E28" i="16"/>
  <c r="E26" i="16"/>
  <c r="E24" i="16"/>
  <c r="E22" i="16"/>
  <c r="E20" i="16"/>
  <c r="E18" i="16"/>
  <c r="E16" i="16"/>
  <c r="E14" i="16"/>
  <c r="E12" i="16"/>
  <c r="E10" i="16"/>
  <c r="E8" i="16"/>
  <c r="E6" i="16"/>
  <c r="E4" i="16"/>
  <c r="E2" i="16"/>
  <c r="I39" i="9"/>
  <c r="K39" i="9"/>
  <c r="I40" i="9"/>
  <c r="K40" i="9"/>
  <c r="K38" i="9"/>
  <c r="I38" i="9"/>
  <c r="K37" i="9"/>
  <c r="I37" i="9"/>
  <c r="I9" i="9"/>
  <c r="K9" i="9"/>
  <c r="I10" i="9"/>
  <c r="K10" i="9"/>
  <c r="F52" i="6" l="1"/>
  <c r="B2" i="14"/>
  <c r="B1" i="14"/>
  <c r="B2" i="13"/>
  <c r="B1" i="13"/>
  <c r="F18" i="6" l="1"/>
  <c r="F19" i="6"/>
  <c r="I30" i="9"/>
  <c r="I31" i="9"/>
  <c r="I32" i="9"/>
  <c r="I33" i="9"/>
  <c r="I34" i="9"/>
  <c r="I35" i="9"/>
  <c r="I36" i="9"/>
  <c r="K30" i="9"/>
  <c r="K31" i="9"/>
  <c r="K32" i="9"/>
  <c r="K33" i="9"/>
  <c r="K34" i="9"/>
  <c r="K35" i="9"/>
  <c r="K36" i="9"/>
  <c r="I23" i="9"/>
  <c r="I22" i="9"/>
  <c r="I24" i="9"/>
  <c r="I25" i="9"/>
  <c r="I26" i="9"/>
  <c r="I27" i="9"/>
  <c r="I28" i="9"/>
  <c r="I29" i="9"/>
  <c r="K22" i="9"/>
  <c r="K23" i="9"/>
  <c r="K24" i="9"/>
  <c r="K25" i="9"/>
  <c r="K26" i="9"/>
  <c r="K27" i="9"/>
  <c r="K28" i="9"/>
  <c r="K29" i="9"/>
  <c r="I16" i="9"/>
  <c r="I17" i="9"/>
  <c r="I18" i="9"/>
  <c r="I19" i="9"/>
  <c r="I20" i="9"/>
  <c r="I21" i="9"/>
  <c r="K16" i="9"/>
  <c r="K17" i="9"/>
  <c r="K18" i="9"/>
  <c r="K19" i="9"/>
  <c r="K20" i="9"/>
  <c r="K21" i="9"/>
  <c r="I15" i="9"/>
  <c r="K15" i="9"/>
  <c r="I14" i="9"/>
  <c r="K14" i="9"/>
  <c r="I13" i="9"/>
  <c r="K13" i="9"/>
  <c r="I12" i="9"/>
  <c r="K12" i="9"/>
  <c r="I11" i="9"/>
  <c r="K11" i="9"/>
  <c r="F9" i="8" l="1"/>
  <c r="B1" i="8"/>
  <c r="B2" i="8"/>
  <c r="L43" i="9"/>
  <c r="B2" i="9"/>
  <c r="B1" i="9"/>
  <c r="B2" i="7"/>
  <c r="B1" i="7"/>
  <c r="B2" i="6"/>
  <c r="B1" i="6"/>
  <c r="B2" i="2"/>
  <c r="B1" i="2"/>
  <c r="B1" i="1"/>
  <c r="B2" i="1"/>
  <c r="K7" i="9" l="1"/>
  <c r="K8" i="9"/>
  <c r="G6" i="20" s="1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l="1"/>
  <c r="G42" i="20" s="1"/>
  <c r="G43" i="20" s="1"/>
  <c r="F7" i="8"/>
  <c r="K43" i="9"/>
  <c r="F8" i="8"/>
  <c r="I7" i="9"/>
  <c r="I8" i="9"/>
  <c r="F10" i="6" l="1"/>
  <c r="F7" i="6"/>
  <c r="F8" i="6"/>
  <c r="F9" i="6"/>
  <c r="F11" i="6"/>
  <c r="F12" i="6"/>
  <c r="F13" i="6"/>
  <c r="F14" i="6"/>
  <c r="F15" i="6"/>
  <c r="F16" i="6"/>
  <c r="F17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AG" type="102" refreshedVersion="6" minRefreshableVersion="5">
    <extLst>
      <ext xmlns:x15="http://schemas.microsoft.com/office/spreadsheetml/2010/11/main" uri="{DE250136-89BD-433C-8126-D09CA5730AF9}">
        <x15:connection id="AG">
          <x15:rangePr sourceName="_xlcn.LinkedTable_AG1"/>
        </x15:connection>
      </ext>
    </extLst>
  </connection>
  <connection id="2" xr16:uid="{00000000-0015-0000-FFFF-FFFF01000000}" name="LinkedTable_CCF" type="102" refreshedVersion="6" minRefreshableVersion="5">
    <extLst>
      <ext xmlns:x15="http://schemas.microsoft.com/office/spreadsheetml/2010/11/main" uri="{DE250136-89BD-433C-8126-D09CA5730AF9}">
        <x15:connection id="CCF">
          <x15:rangePr sourceName="_xlcn.LinkedTable_CCF1"/>
        </x15:connection>
      </ext>
    </extLst>
  </connection>
  <connection id="3" xr16:uid="{00000000-0015-0000-FFFF-FFFF02000000}" name="LinkedTable_COA" type="102" refreshedVersion="6" minRefreshableVersion="5">
    <extLst>
      <ext xmlns:x15="http://schemas.microsoft.com/office/spreadsheetml/2010/11/main" uri="{DE250136-89BD-433C-8126-D09CA5730AF9}">
        <x15:connection id="COA">
          <x15:rangePr sourceName="_xlcn.LinkedTable_COA1"/>
        </x15:connection>
      </ext>
    </extLst>
  </connection>
  <connection id="4" xr16:uid="{00000000-0015-0000-FFFF-FFFF03000000}" name="LinkedTable_COAH" type="102" refreshedVersion="6" minRefreshableVersion="5">
    <extLst>
      <ext xmlns:x15="http://schemas.microsoft.com/office/spreadsheetml/2010/11/main" uri="{DE250136-89BD-433C-8126-D09CA5730AF9}">
        <x15:connection id="COAH">
          <x15:rangePr sourceName="_xlcn.LinkedTable_COAH1"/>
        </x15:connection>
      </ext>
    </extLst>
  </connection>
  <connection id="5" xr16:uid="{00000000-0015-0000-FFFF-FFFF04000000}" name="LinkedTable_Date" type="102" refreshedVersion="6" minRefreshableVersion="5">
    <extLst>
      <ext xmlns:x15="http://schemas.microsoft.com/office/spreadsheetml/2010/11/main" uri="{DE250136-89BD-433C-8126-D09CA5730AF9}">
        <x15:connection id="Date">
          <x15:rangePr sourceName="_xlcn.LinkedTable_Date1"/>
        </x15:connection>
      </ext>
    </extLst>
  </connection>
  <connection id="6" xr16:uid="{00000000-0015-0000-FFFF-FFFF05000000}" name="LinkedTable_GJ" type="102" refreshedVersion="6" minRefreshableVersion="5">
    <extLst>
      <ext xmlns:x15="http://schemas.microsoft.com/office/spreadsheetml/2010/11/main" uri="{DE250136-89BD-433C-8126-D09CA5730AF9}">
        <x15:connection id="GJ">
          <x15:rangePr sourceName="_xlcn.LinkedTable_GJ1"/>
        </x15:connection>
      </ext>
    </extLst>
  </connection>
  <connection id="7" xr16:uid="{00000000-0015-0000-FFFF-FFFF06000000}" name="LinkedTable_JB" type="102" refreshedVersion="6" minRefreshableVersion="5">
    <extLst>
      <ext xmlns:x15="http://schemas.microsoft.com/office/spreadsheetml/2010/11/main" uri="{DE250136-89BD-433C-8126-D09CA5730AF9}">
        <x15:connection id="JB">
          <x15:rangePr sourceName="_xlcn.LinkedTable_JB1"/>
        </x15:connection>
      </ext>
    </extLst>
  </connection>
  <connection id="8" xr16:uid="{00000000-0015-0000-FFFF-FFFF07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<sst xmlns="http://schemas.openxmlformats.org/spreadsheetml/2006/main" count="616" uniqueCount="209">
  <si>
    <t>ACCOUNT GROUP</t>
  </si>
  <si>
    <t>AG Number</t>
  </si>
  <si>
    <t>Group</t>
  </si>
  <si>
    <t>Report</t>
  </si>
  <si>
    <t>ASSET</t>
  </si>
  <si>
    <t>BS</t>
  </si>
  <si>
    <t>LIABILITIES</t>
  </si>
  <si>
    <t>EQUITY</t>
  </si>
  <si>
    <t>REVENUE</t>
  </si>
  <si>
    <t>IS</t>
  </si>
  <si>
    <t>EXPENSE</t>
  </si>
  <si>
    <t>GAIN</t>
  </si>
  <si>
    <t>LOSS</t>
  </si>
  <si>
    <t>COAH Number</t>
  </si>
  <si>
    <t>Account Header</t>
  </si>
  <si>
    <t>Account Group</t>
  </si>
  <si>
    <t>Aset Lancar</t>
  </si>
  <si>
    <t>Aset Tetap</t>
  </si>
  <si>
    <t>LIABILITAS</t>
  </si>
  <si>
    <t>Kewajiban Lancar</t>
  </si>
  <si>
    <t>Kewajiban Jangka Panjang</t>
  </si>
  <si>
    <t>EKUITAS</t>
  </si>
  <si>
    <t>PENDAPATAN</t>
  </si>
  <si>
    <t>BEBAN</t>
  </si>
  <si>
    <t>PENDAPATAN DILUAR USAHA</t>
  </si>
  <si>
    <t>BEBAN DILUAR USAHA</t>
  </si>
  <si>
    <t>BEBAN PAJAK</t>
  </si>
  <si>
    <t>AccNumber</t>
  </si>
  <si>
    <t>Account Name</t>
  </si>
  <si>
    <t>Normal</t>
  </si>
  <si>
    <t>Remarks</t>
  </si>
  <si>
    <t>Kas</t>
  </si>
  <si>
    <t>Bank</t>
  </si>
  <si>
    <t>Piutang usaha</t>
  </si>
  <si>
    <t>Piutang lain-lain</t>
  </si>
  <si>
    <t>Uang Muka</t>
  </si>
  <si>
    <t>Biaya dibayar dimuka</t>
  </si>
  <si>
    <t>Aset Tetap – Tanah</t>
  </si>
  <si>
    <t>Aset Tetap – Bangunan</t>
  </si>
  <si>
    <t>Akumulasi penyusutan bangunan</t>
  </si>
  <si>
    <t>Aset Tetap – Perlengkapan Kantor</t>
  </si>
  <si>
    <t>Akumulasi penyusutan perlengkapan kantor</t>
  </si>
  <si>
    <t>Aset tidak lancar lainnya</t>
  </si>
  <si>
    <t>Utang usaha</t>
  </si>
  <si>
    <t>Utang lainnya</t>
  </si>
  <si>
    <t>Utang Pajak</t>
  </si>
  <si>
    <t>Biaya masih harus dibayar</t>
  </si>
  <si>
    <t>Utang Bank</t>
  </si>
  <si>
    <t>Utang Jk. Panjang Lainnya</t>
  </si>
  <si>
    <t>Modal</t>
  </si>
  <si>
    <t>Tambahan Modal disetor</t>
  </si>
  <si>
    <t>Dividen</t>
  </si>
  <si>
    <t>Akumulasi Laba</t>
  </si>
  <si>
    <t>Pendapatan Jasa</t>
  </si>
  <si>
    <t>Beban Pemasaran</t>
  </si>
  <si>
    <t>Beban iklan</t>
  </si>
  <si>
    <t>Beban Umum Administrasi</t>
  </si>
  <si>
    <t>Gaji pegawai</t>
  </si>
  <si>
    <t>Perjalanan dinas</t>
  </si>
  <si>
    <t>Transportasi</t>
  </si>
  <si>
    <t>Listrik, air, telepon</t>
  </si>
  <si>
    <t>Jasa profesional</t>
  </si>
  <si>
    <t>Pos, materai dan pengiriman</t>
  </si>
  <si>
    <t>Rumah tangga kantor</t>
  </si>
  <si>
    <t>Jamuan dan Sumbangan</t>
  </si>
  <si>
    <t>Beban Penyusutan</t>
  </si>
  <si>
    <t>Beban Umum administrasi lainnya</t>
  </si>
  <si>
    <t>Jasa giro</t>
  </si>
  <si>
    <t>Pendapatan lainnya</t>
  </si>
  <si>
    <t>Bunga utang bank</t>
  </si>
  <si>
    <t>Administrasi bank</t>
  </si>
  <si>
    <t>Selisih pembulatan</t>
  </si>
  <si>
    <t>Beban lainnya</t>
  </si>
  <si>
    <t>Beban Pajak</t>
  </si>
  <si>
    <t>D</t>
  </si>
  <si>
    <t>K</t>
  </si>
  <si>
    <t>Header</t>
  </si>
  <si>
    <t>Uang yang ada di Kantor</t>
  </si>
  <si>
    <t>CF CODE</t>
  </si>
  <si>
    <t>Description</t>
  </si>
  <si>
    <t>Type</t>
  </si>
  <si>
    <t>OUTFLOW</t>
  </si>
  <si>
    <t>OPERATING</t>
  </si>
  <si>
    <t>CIO-CUST</t>
  </si>
  <si>
    <t>Pembayaran Dari Pelanggan</t>
  </si>
  <si>
    <t>INFLOW</t>
  </si>
  <si>
    <t>Kas yang di terima dari pelanggan</t>
  </si>
  <si>
    <t>CIO-OTHERS</t>
  </si>
  <si>
    <t>Penerimaan operasional lainnya</t>
  </si>
  <si>
    <t>Arus kas dari penjualan asset</t>
  </si>
  <si>
    <t>CII-ASSET</t>
  </si>
  <si>
    <t>INVESTING</t>
  </si>
  <si>
    <t>COO-VENDOR</t>
  </si>
  <si>
    <t>Pembayaran kepada Vendor</t>
  </si>
  <si>
    <t>COO-EMPLOYEE</t>
  </si>
  <si>
    <t>Pembayaran kepada karyawan</t>
  </si>
  <si>
    <t>COO-GOVERNMENT</t>
  </si>
  <si>
    <t>Pembayaran kepada pemerintah</t>
  </si>
  <si>
    <t>Pembayaran pajak dll</t>
  </si>
  <si>
    <t>Gaji, Pinjaman Karyawan dll</t>
  </si>
  <si>
    <t>Pembelian barang dagangan, Pembayaran Hutang</t>
  </si>
  <si>
    <t>COI-ASSET</t>
  </si>
  <si>
    <t>Arus kas dari penerimaan asset</t>
  </si>
  <si>
    <t>Pembelian gedung, mesin, peralatan, furniture</t>
  </si>
  <si>
    <t>CIF-OWNER</t>
  </si>
  <si>
    <t>Tambahan dana dari owner</t>
  </si>
  <si>
    <t>FINANCING</t>
  </si>
  <si>
    <t>COF-OWNER</t>
  </si>
  <si>
    <t>Setoran ke owner</t>
  </si>
  <si>
    <t>Dividen, Tarikan dana dari owner</t>
  </si>
  <si>
    <t>CIF-BOND</t>
  </si>
  <si>
    <t>Arus kas dari pinjaman jangka panjang</t>
  </si>
  <si>
    <t>Obligasi dan pinjaman jk. Panjang lainnya</t>
  </si>
  <si>
    <t>COF-BOND</t>
  </si>
  <si>
    <t>Settlement pinjaman jangka panjang</t>
  </si>
  <si>
    <t>Pembayaran hutang jk. Panjang</t>
  </si>
  <si>
    <t>CHART OF CASH FLOW</t>
  </si>
  <si>
    <t>Date</t>
  </si>
  <si>
    <t>Batch Number</t>
  </si>
  <si>
    <t>Batch</t>
  </si>
  <si>
    <t>Ref</t>
  </si>
  <si>
    <t>Amount</t>
  </si>
  <si>
    <t>Account</t>
  </si>
  <si>
    <t>CashFlow</t>
  </si>
  <si>
    <t>Actual Amount</t>
  </si>
  <si>
    <t>JOURNAL BATCH</t>
  </si>
  <si>
    <t>CREDIT</t>
  </si>
  <si>
    <t>CHART OF ACCOUNT</t>
  </si>
  <si>
    <t>Acc Number</t>
  </si>
  <si>
    <t>GENERAL JOURNAL</t>
  </si>
  <si>
    <t>SETTING PAGE</t>
  </si>
  <si>
    <t>Nama Perusahaan</t>
  </si>
  <si>
    <t>Alamat Perusahaan</t>
  </si>
  <si>
    <t>Total</t>
  </si>
  <si>
    <t>CHART OF ACCOUNT HEADER</t>
  </si>
  <si>
    <t>GEN.001</t>
  </si>
  <si>
    <t>General Journal - Januari 2019</t>
  </si>
  <si>
    <t>GEN</t>
  </si>
  <si>
    <t>SAMPLE.01</t>
  </si>
  <si>
    <t>Pendapatan jasa secara kredit</t>
  </si>
  <si>
    <t>DEBIT</t>
  </si>
  <si>
    <t>Pendapatan jasa secara tunai</t>
  </si>
  <si>
    <t>Pemindahan dari Bank ke Kas Kantor</t>
  </si>
  <si>
    <t>Bayar tagihan air dan telepon</t>
  </si>
  <si>
    <t>Biaya listrik untuk kantor</t>
  </si>
  <si>
    <t>Jamuan untuk tamu</t>
  </si>
  <si>
    <t>Tambahan setoran modal dari owner</t>
  </si>
  <si>
    <t>Pinjaman dari Bank</t>
  </si>
  <si>
    <t>Menerima pembayaran piutang dari customer</t>
  </si>
  <si>
    <t>Pembelian kendaraan</t>
  </si>
  <si>
    <t>Kendaraan</t>
  </si>
  <si>
    <t>Akumulasi penyusutan kendaraan</t>
  </si>
  <si>
    <t>Beban Iklan</t>
  </si>
  <si>
    <t>Bayar gaji karyawan</t>
  </si>
  <si>
    <t>Checker</t>
  </si>
  <si>
    <t>IB</t>
  </si>
  <si>
    <t>Interbank</t>
  </si>
  <si>
    <t>Transaksi antar kas dan bank</t>
  </si>
  <si>
    <t>COO-OTHERS</t>
  </si>
  <si>
    <t>Pembayaran operasional lainnya</t>
  </si>
  <si>
    <t>Row Labels</t>
  </si>
  <si>
    <t>Laba (Rugi)</t>
  </si>
  <si>
    <t>BALANCE SHEET</t>
  </si>
  <si>
    <t>INCOME STATEMENT</t>
  </si>
  <si>
    <t>HELPER</t>
  </si>
  <si>
    <t>Helper Header</t>
  </si>
  <si>
    <t>Helper Account</t>
  </si>
  <si>
    <t>ADJ.001</t>
  </si>
  <si>
    <t>Closing Entries - Januari 2019</t>
  </si>
  <si>
    <t>ADJ</t>
  </si>
  <si>
    <t>Closing entry - Januari 2019</t>
  </si>
  <si>
    <t>BB.001</t>
  </si>
  <si>
    <t>Beginning Balance - Januari 2019</t>
  </si>
  <si>
    <t>Neraca Awal</t>
  </si>
  <si>
    <t>DATE</t>
  </si>
  <si>
    <t>MONTH_NUMBER</t>
  </si>
  <si>
    <t>MONTH</t>
  </si>
  <si>
    <t>YEAR</t>
  </si>
  <si>
    <t>MonthYearNumber</t>
  </si>
  <si>
    <t>Column Labels</t>
  </si>
  <si>
    <t>Feb</t>
  </si>
  <si>
    <t>Jan</t>
  </si>
  <si>
    <t>Closing entry - Februari 2019</t>
  </si>
  <si>
    <t>EQ</t>
  </si>
  <si>
    <t>Modal Awal</t>
  </si>
  <si>
    <t>Deskripsi</t>
  </si>
  <si>
    <t>Modal Akhir</t>
  </si>
  <si>
    <t>EQUITY STATEMENT</t>
  </si>
  <si>
    <t>CF</t>
  </si>
  <si>
    <t>CASH FLOW STATEMENT</t>
  </si>
  <si>
    <t>Net Increase (Net Decrease)</t>
  </si>
  <si>
    <t>Debit</t>
  </si>
  <si>
    <t>Credit</t>
  </si>
  <si>
    <t>Balance</t>
  </si>
  <si>
    <t>Filter</t>
  </si>
  <si>
    <t>Start Date</t>
  </si>
  <si>
    <t>End Date</t>
  </si>
  <si>
    <t xml:space="preserve">Normal : </t>
  </si>
  <si>
    <t xml:space="preserve">Checker : </t>
  </si>
  <si>
    <t>DONASI dan LISENSI</t>
  </si>
  <si>
    <t>Aplikasi SimAcc ini tidak untuk di perjual belikan</t>
  </si>
  <si>
    <t>Aplikasi ini dapat di modifikasi sesuai kebutuhan</t>
  </si>
  <si>
    <t>Support kami lewat donasi</t>
  </si>
  <si>
    <t>Bank BRI</t>
  </si>
  <si>
    <t>Pemilik Rekening</t>
  </si>
  <si>
    <t>0689-01-011995-50-1</t>
  </si>
  <si>
    <t>Cheries Nomen Mewengkang</t>
  </si>
  <si>
    <t>OcingAccConsult</t>
  </si>
  <si>
    <t>Jl, abc1234, Jakarta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</si>
</sst>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\ mmm\ yyyy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7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8"/>
      <color theme="7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rgb="FF99999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5"/>
      </top>
      <bottom style="thin">
        <color indexed="64"/>
      </bottom>
      <diagonal/>
    </border>
    <border>
      <left/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/>
      <top/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/>
      <top style="thin">
        <color theme="7" tint="-0.499984740745262"/>
      </top>
      <bottom/>
      <diagonal/>
    </border>
    <border>
      <left/>
      <right style="thin">
        <color theme="7" tint="-0.499984740745262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164" fontId="0" fillId="0" borderId="0" xfId="0" applyNumberFormat="1"/>
    <xf numFmtId="38" fontId="0" fillId="0" borderId="0" xfId="0" applyNumberFormat="1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0" fillId="0" borderId="0" xfId="0" applyNumberFormat="1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3" fillId="0" borderId="0" xfId="0" applyFont="1"/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38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38" fontId="0" fillId="0" borderId="0" xfId="1" applyNumberFormat="1" applyFont="1" applyAlignment="1">
      <alignment vertical="center"/>
    </xf>
    <xf numFmtId="0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5" fontId="0" fillId="0" borderId="0" xfId="0" applyNumberFormat="1"/>
    <xf numFmtId="0" fontId="14" fillId="0" borderId="0" xfId="0" applyFont="1" applyAlignment="1">
      <alignment vertical="center" wrapText="1"/>
    </xf>
    <xf numFmtId="0" fontId="12" fillId="0" borderId="0" xfId="0" applyFont="1"/>
    <xf numFmtId="0" fontId="0" fillId="0" borderId="1" xfId="0" applyBorder="1"/>
    <xf numFmtId="165" fontId="0" fillId="0" borderId="1" xfId="1" applyNumberFormat="1" applyFont="1" applyBorder="1"/>
    <xf numFmtId="165" fontId="0" fillId="0" borderId="1" xfId="0" applyNumberFormat="1" applyBorder="1"/>
    <xf numFmtId="0" fontId="0" fillId="0" borderId="1" xfId="0" applyBorder="1" applyAlignment="1">
      <alignment horizontal="left"/>
    </xf>
    <xf numFmtId="165" fontId="0" fillId="0" borderId="2" xfId="0" applyNumberFormat="1" applyBorder="1"/>
    <xf numFmtId="0" fontId="0" fillId="0" borderId="2" xfId="0" applyBorder="1" applyAlignment="1">
      <alignment horizontal="left"/>
    </xf>
    <xf numFmtId="0" fontId="0" fillId="0" borderId="3" xfId="0" pivotButton="1" applyBorder="1"/>
    <xf numFmtId="165" fontId="0" fillId="0" borderId="3" xfId="0" pivotButton="1" applyNumberFormat="1" applyBorder="1"/>
    <xf numFmtId="165" fontId="0" fillId="0" borderId="3" xfId="0" applyNumberFormat="1" applyBorder="1"/>
    <xf numFmtId="0" fontId="13" fillId="4" borderId="1" xfId="0" applyFont="1" applyFill="1" applyBorder="1" applyAlignment="1">
      <alignment horizontal="center" vertical="center"/>
    </xf>
    <xf numFmtId="165" fontId="13" fillId="4" borderId="1" xfId="1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left"/>
    </xf>
    <xf numFmtId="165" fontId="13" fillId="4" borderId="1" xfId="1" applyNumberFormat="1" applyFont="1" applyFill="1" applyBorder="1"/>
    <xf numFmtId="0" fontId="0" fillId="0" borderId="4" xfId="0" applyBorder="1" applyAlignment="1">
      <alignment horizontal="left"/>
    </xf>
    <xf numFmtId="165" fontId="0" fillId="0" borderId="4" xfId="0" applyNumberFormat="1" applyBorder="1"/>
    <xf numFmtId="0" fontId="0" fillId="0" borderId="0" xfId="0" pivotButton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5" borderId="0" xfId="0" applyFont="1" applyFill="1"/>
    <xf numFmtId="0" fontId="18" fillId="5" borderId="0" xfId="0" applyFont="1" applyFill="1"/>
    <xf numFmtId="0" fontId="18" fillId="5" borderId="5" xfId="0" applyFont="1" applyFill="1" applyBorder="1"/>
    <xf numFmtId="0" fontId="18" fillId="5" borderId="6" xfId="0" applyFont="1" applyFill="1" applyBorder="1" applyAlignment="1">
      <alignment horizontal="right"/>
    </xf>
    <xf numFmtId="0" fontId="18" fillId="5" borderId="7" xfId="0" applyFont="1" applyFill="1" applyBorder="1"/>
    <xf numFmtId="0" fontId="18" fillId="5" borderId="8" xfId="0" applyFont="1" applyFill="1" applyBorder="1"/>
    <xf numFmtId="0" fontId="18" fillId="5" borderId="9" xfId="0" applyFont="1" applyFill="1" applyBorder="1" applyAlignment="1">
      <alignment horizontal="right"/>
    </xf>
    <xf numFmtId="0" fontId="18" fillId="5" borderId="10" xfId="0" applyFont="1" applyFill="1" applyBorder="1"/>
    <xf numFmtId="0" fontId="18" fillId="5" borderId="9" xfId="0" applyFont="1" applyFill="1" applyBorder="1"/>
    <xf numFmtId="15" fontId="17" fillId="5" borderId="11" xfId="0" applyNumberFormat="1" applyFont="1" applyFill="1" applyBorder="1"/>
    <xf numFmtId="15" fontId="17" fillId="5" borderId="12" xfId="0" applyNumberFormat="1" applyFont="1" applyFill="1" applyBorder="1"/>
    <xf numFmtId="0" fontId="17" fillId="5" borderId="13" xfId="0" applyFont="1" applyFill="1" applyBorder="1"/>
    <xf numFmtId="0" fontId="18" fillId="5" borderId="14" xfId="0" applyFont="1" applyFill="1" applyBorder="1"/>
    <xf numFmtId="0" fontId="0" fillId="0" borderId="0" xfId="0" applyAlignment="1">
      <alignment horizontal="center" vertical="center"/>
    </xf>
    <xf numFmtId="165" fontId="2" fillId="0" borderId="0" xfId="1" applyNumberFormat="1" applyFont="1"/>
    <xf numFmtId="0" fontId="19" fillId="5" borderId="0" xfId="0" applyFont="1" applyFill="1" applyAlignment="1">
      <alignment horizontal="left" vertical="center"/>
    </xf>
    <xf numFmtId="0" fontId="4" fillId="5" borderId="0" xfId="0" applyFont="1" applyFill="1"/>
    <xf numFmtId="0" fontId="0" fillId="5" borderId="0" xfId="0" applyFill="1"/>
    <xf numFmtId="0" fontId="21" fillId="6" borderId="0" xfId="0" applyFont="1" applyFill="1"/>
    <xf numFmtId="0" fontId="0" fillId="6" borderId="0" xfId="0" applyFill="1"/>
    <xf numFmtId="0" fontId="20" fillId="6" borderId="0" xfId="0" applyFont="1" applyFill="1"/>
  </cellXfs>
  <cellStyles count="2">
    <cellStyle name="Comma" xfId="1" builtinId="3"/>
    <cellStyle name="Normal" xfId="0" builtinId="0"/>
  </cellStyles>
  <dxfs count="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m/yy"/>
    </dxf>
    <dxf>
      <border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font>
        <sz val="8"/>
      </font>
    </dxf>
    <dxf>
      <font>
        <sz val="9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6" formatCode="#,##0_);[Red]\(#,##0\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</dxf>
    <dxf>
      <numFmt numFmtId="0" formatCode="General"/>
    </dxf>
    <dxf>
      <numFmt numFmtId="164" formatCode="d\ mmm\ yyyy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numFmt numFmtId="6" formatCode="#,##0_);[Red]\(#,##0\)"/>
    </dxf>
    <dxf>
      <numFmt numFmtId="6" formatCode="#,##0_);[Red]\(#,##0\)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6" formatCode="#,##0_);[Red]\(#,##0\)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4" formatCode="d\ 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_(* #,##0_);_(* \(#,##0\);_(* &quot;-&quot;??_);_(@_)"/>
    </dxf>
    <dxf>
      <numFmt numFmtId="164" formatCode="d\ mmm\ yyyy"/>
    </dxf>
    <dxf>
      <fill>
        <patternFill>
          <bgColor rgb="FFFFC5C5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C5C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ustomXml" Target="../customXml/item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" refreshedDate="43407.484641550924" createdVersion="5" refreshedVersion="6" minRefreshableVersion="3" recordCount="0" supportSubquery="1" supportAdvancedDrill="1" xr:uid="{00000000-000A-0000-FFFF-FFFF00000000}">
  <cacheSource type="external" connectionId="8"/>
  <cacheFields count="4">
    <cacheField name="[CCF].[Group].[Group]" caption="Group" numFmtId="0" hierarchy="5" level="1">
      <sharedItems count="3">
        <s v="FINANCING"/>
        <s v="INVESTING"/>
        <s v="OPERATING"/>
      </sharedItems>
    </cacheField>
    <cacheField name="[CCF].[Description].[Description]" caption="Description" numFmtId="0" hierarchy="4" level="1">
      <sharedItems count="7">
        <s v="Arus kas dari pinjaman jangka panjang"/>
        <s v="Interbank"/>
        <s v="Setoran ke owner"/>
        <s v="Arus kas dari penerimaan asset"/>
        <s v="Pembayaran Dari Pelanggan"/>
        <s v="Pembayaran kepada karyawan"/>
        <s v="Pembayaran operasional lainnya"/>
      </sharedItems>
    </cacheField>
    <cacheField name="[Measures].[CF]" caption="CF" numFmtId="0" hierarchy="41" level="32767"/>
    <cacheField name="[Date].[MONTH].[MONTH]" caption="MONTH" numFmtId="0" hierarchy="12" level="1">
      <sharedItems count="2">
        <s v="Jan"/>
        <s v="Feb"/>
      </sharedItems>
    </cacheField>
  </cacheFields>
  <cacheHierarchies count="50">
    <cacheHierarchy uniqueName="[AG].[AG Number]" caption="AG Number" attribute="1" defaultMemberUniqueName="[AG].[AG Number].[All]" allUniqueName="[AG].[AG Number].[All]" dimensionUniqueName="[AG]" displayFolder="" count="0" memberValueDatatype="20" unbalanced="0"/>
    <cacheHierarchy uniqueName="[AG].[Group]" caption="Group" attribute="1" defaultMemberUniqueName="[AG].[Group].[All]" allUniqueName="[AG].[Group].[All]" dimensionUniqueName="[AG]" displayFolder="" count="0" memberValueDatatype="130" unbalanced="0"/>
    <cacheHierarchy uniqueName="[AG].[Report]" caption="Report" attribute="1" defaultMemberUniqueName="[AG].[Report].[All]" allUniqueName="[AG].[Report].[All]" dimensionUniqueName="[AG]" displayFolder="" count="0" memberValueDatatype="130" unbalanced="0"/>
    <cacheHierarchy uniqueName="[CCF].[CF CODE]" caption="CF CODE" attribute="1" defaultMemberUniqueName="[CCF].[CF CODE].[All]" allUniqueName="[CCF].[CF CODE].[All]" dimensionUniqueName="[CCF]" displayFolder="" count="0" memberValueDatatype="130" unbalanced="0"/>
    <cacheHierarchy uniqueName="[CCF].[Description]" caption="Description" attribute="1" defaultMemberUniqueName="[CCF].[Description].[All]" allUniqueName="[CCF].[Description].[All]" dimensionUniqueName="[CCF]" displayFolder="" count="2" memberValueDatatype="130" unbalanced="0">
      <fieldsUsage count="2">
        <fieldUsage x="-1"/>
        <fieldUsage x="1"/>
      </fieldsUsage>
    </cacheHierarchy>
    <cacheHierarchy uniqueName="[CCF].[Group]" caption="Group" attribute="1" defaultMemberUniqueName="[CCF].[Group].[All]" allUniqueName="[CCF].[Group].[All]" dimensionUniqueName="[CCF]" displayFolder="" count="2" memberValueDatatype="130" unbalanced="0">
      <fieldsUsage count="2">
        <fieldUsage x="-1"/>
        <fieldUsage x="0"/>
      </fieldsUsage>
    </cacheHierarchy>
    <cacheHierarchy uniqueName="[CCF].[Type]" caption="Type" attribute="1" defaultMemberUniqueName="[CCF].[Type].[All]" allUniqueName="[CCF].[Type].[All]" dimensionUniqueName="[CCF]" displayFolder="" count="0" memberValueDatatype="130" unbalanced="0"/>
    <cacheHierarchy uniqueName="[COA].[AccNumber]" caption="AccNumber" attribute="1" defaultMemberUniqueName="[COA].[AccNumber].[All]" allUniqueName="[COA].[AccNumber].[All]" dimensionUniqueName="[COA]" displayFolder="" count="0" memberValueDatatype="20" unbalanced="0"/>
    <cacheHierarchy uniqueName="[COA].[Account Name]" caption="Account Name" attribute="1" defaultMemberUniqueName="[COA].[Account Name].[All]" allUniqueName="[COA].[Account Name].[All]" dimensionUniqueName="[COA]" displayFolder="" count="0" memberValueDatatype="130" unbalanced="0"/>
    <cacheHierarchy uniqueName="[COAH].[Account Header]" caption="Account Header" attribute="1" defaultMemberUniqueName="[COAH].[Account Header].[All]" allUniqueName="[COAH].[Account Header].[All]" dimensionUniqueName="[COAH]" displayFolder="" count="0" memberValueDatatype="130" unbalanced="0"/>
    <cacheHierarchy uniqueName="[COAH].[COAH Number]" caption="COAH Number" attribute="1" defaultMemberUniqueName="[COAH].[COAH Number].[All]" allUniqueName="[COAH].[COAH Number].[All]" dimensionUniqueName="[COAH]" displayFolder="" count="0" memberValueDatatype="20" unbalanced="0"/>
    <cacheHierarchy uniqueName="[Date].[DATE]" caption="DATE" attribute="1" time="1" defaultMemberUniqueName="[Date].[DATE].[All]" allUniqueName="[Date].[DATE].[All]" dimensionUniqueName="[Date]" displayFolder="" count="0" memberValueDatatype="7" unbalanced="0"/>
    <cacheHierarchy uniqueName="[Date].[MONTH]" caption="MONTH" attribute="1" defaultMemberUniqueName="[Date].[MONTH].[All]" allUniqueName="[Date].[MONTH].[All]" dimensionUniqueName="[Date]" displayFolder="" count="2" memberValueDatatype="130" unbalanced="0">
      <fieldsUsage count="2">
        <fieldUsage x="-1"/>
        <fieldUsage x="3"/>
      </fieldsUsage>
    </cacheHierarchy>
    <cacheHierarchy uniqueName="[Date].[MONTH_NUMBER]" caption="MONTH_NUMBER" attribute="1" defaultMemberUniqueName="[Date].[MONTH_NUMBER].[All]" allUniqueName="[Date].[MONTH_NUMBER].[All]" dimensionUniqueName="[Date]" displayFolder="" count="0" memberValueDatatype="20" unbalanced="0"/>
    <cacheHierarchy uniqueName="[Date].[MonthYearNumber]" caption="MonthYearNumber" attribute="1" defaultMemberUniqueName="[Date].[MonthYearNumber].[All]" allUniqueName="[Date].[MonthYearNumber].[All]" dimensionUniqueName="[Date]" displayFolder="" count="0" memberValueDatatype="5" unbalanced="0"/>
    <cacheHierarchy uniqueName="[Date].[YEAR]" caption="YEAR" attribute="1" defaultMemberUniqueName="[Date].[YEAR].[All]" allUniqueName="[Date].[YEAR].[All]" dimensionUniqueName="[Date]" displayFolder="" count="0" memberValueDatatype="20" unbalanced="0"/>
    <cacheHierarchy uniqueName="[GJ].[Date]" caption="Date" attribute="1" time="1" defaultMemberUniqueName="[GJ].[Date].[All]" allUniqueName="[GJ].[Date].[All]" dimensionUniqueName="[GJ]" displayFolder="" count="0" memberValueDatatype="7" unbalanced="0"/>
    <cacheHierarchy uniqueName="[GJ].[Description]" caption="Description" attribute="1" defaultMemberUniqueName="[GJ].[Description].[All]" allUniqueName="[GJ].[Description].[All]" dimensionUniqueName="[GJ]" displayFolder="" count="0" memberValueDatatype="130" unbalanced="0"/>
    <cacheHierarchy uniqueName="[GJ].[Ref]" caption="Ref" attribute="1" defaultMemberUniqueName="[GJ].[Ref].[All]" allUniqueName="[GJ].[Ref].[All]" dimensionUniqueName="[GJ]" displayFolder="" count="0" memberValueDatatype="130" unbalanced="0"/>
    <cacheHierarchy uniqueName="[GJ].[Remarks]" caption="Remarks" attribute="1" defaultMemberUniqueName="[GJ].[Remarks].[All]" allUniqueName="[GJ].[Remarks].[All]" dimensionUniqueName="[GJ]" displayFolder="" count="0" memberValueDatatype="130" unbalanced="0"/>
    <cacheHierarchy uniqueName="[GJ].[Type]" caption="Type" attribute="1" defaultMemberUniqueName="[GJ].[Type].[All]" allUniqueName="[GJ].[Type].[All]" dimensionUniqueName="[GJ]" displayFolder="" count="0" memberValueDatatype="130" unbalanced="0"/>
    <cacheHierarchy uniqueName="[JB].[Batch Number]" caption="Batch Number" attribute="1" defaultMemberUniqueName="[JB].[Batch Number].[All]" allUniqueName="[JB].[Batch Number].[All]" dimensionUniqueName="[JB]" displayFolder="" count="0" memberValueDatatype="130" unbalanced="0"/>
    <cacheHierarchy uniqueName="[JB].[Checker]" caption="Checker" attribute="1" defaultMemberUniqueName="[JB].[Checker].[All]" allUniqueName="[JB].[Checker].[All]" dimensionUniqueName="[JB]" displayFolder="" count="0" memberValueDatatype="20" unbalanced="0"/>
    <cacheHierarchy uniqueName="[JB].[Date]" caption="Date" attribute="1" time="1" defaultMemberUniqueName="[JB].[Date].[All]" allUniqueName="[JB].[Date].[All]" dimensionUniqueName="[JB]" displayFolder="" count="0" memberValueDatatype="7" unbalanced="0"/>
    <cacheHierarchy uniqueName="[JB].[Description]" caption="Description" attribute="1" defaultMemberUniqueName="[JB].[Description].[All]" allUniqueName="[JB].[Description].[All]" dimensionUniqueName="[JB]" displayFolder="" count="0" memberValueDatatype="130" unbalanced="0"/>
    <cacheHierarchy uniqueName="[JB].[Type]" caption="Type" attribute="1" defaultMemberUniqueName="[JB].[Type].[All]" allUniqueName="[JB].[Type].[All]" dimensionUniqueName="[JB]" displayFolder="" count="0" memberValueDatatype="130" unbalanced="0"/>
    <cacheHierarchy uniqueName="[CCF].[Remarks]" caption="Remarks" attribute="1" defaultMemberUniqueName="[CCF].[Remarks].[All]" allUniqueName="[CCF].[Remarks].[All]" dimensionUniqueName="[CCF]" displayFolder="" count="0" memberValueDatatype="130" unbalanced="0" hidden="1"/>
    <cacheHierarchy uniqueName="[COA].[Group]" caption="Group" attribute="1" defaultMemberUniqueName="[COA].[Group].[All]" allUniqueName="[COA].[Group].[All]" dimensionUniqueName="[COA]" displayFolder="" count="0" memberValueDatatype="130" unbalanced="0" hidden="1"/>
    <cacheHierarchy uniqueName="[COA].[Header]" caption="Header" attribute="1" defaultMemberUniqueName="[COA].[Header].[All]" allUniqueName="[COA].[Header].[All]" dimensionUniqueName="[COA]" displayFolder="" count="0" memberValueDatatype="130" unbalanced="0" hidden="1"/>
    <cacheHierarchy uniqueName="[COA].[Normal]" caption="Normal" attribute="1" defaultMemberUniqueName="[COA].[Normal].[All]" allUniqueName="[COA].[Normal].[All]" dimensionUniqueName="[COA]" displayFolder="" count="0" memberValueDatatype="130" unbalanced="0" hidden="1"/>
    <cacheHierarchy uniqueName="[COA].[Remarks]" caption="Remarks" attribute="1" defaultMemberUniqueName="[COA].[Remarks].[All]" allUniqueName="[COA].[Remarks].[All]" dimensionUniqueName="[COA]" displayFolder="" count="0" memberValueDatatype="130" unbalanced="0" hidden="1"/>
    <cacheHierarchy uniqueName="[COAH].[Account Group]" caption="Account Group" attribute="1" defaultMemberUniqueName="[COAH].[Account Group].[All]" allUniqueName="[COAH].[Account Group].[All]" dimensionUniqueName="[COAH]" displayFolder="" count="0" memberValueDatatype="130" unbalanced="0" hidden="1"/>
    <cacheHierarchy uniqueName="[GJ].[Acc Number]" caption="Acc Number" attribute="1" defaultMemberUniqueName="[GJ].[Acc Number].[All]" allUniqueName="[GJ].[Acc Number].[All]" dimensionUniqueName="[GJ]" displayFolder="" count="0" memberValueDatatype="20" unbalanced="0" hidden="1"/>
    <cacheHierarchy uniqueName="[GJ].[Account]" caption="Account" attribute="1" defaultMemberUniqueName="[GJ].[Account].[All]" allUniqueName="[GJ].[Account].[All]" dimensionUniqueName="[GJ]" displayFolder="" count="0" memberValueDatatype="130" unbalanced="0" hidden="1"/>
    <cacheHierarchy uniqueName="[GJ].[Actual Amount]" caption="Actual Amount" attribute="1" defaultMemberUniqueName="[GJ].[Actual Amount].[All]" allUniqueName="[GJ].[Actual Amount].[All]" dimensionUniqueName="[GJ]" displayFolder="" count="0" memberValueDatatype="20" unbalanced="0" hidden="1"/>
    <cacheHierarchy uniqueName="[GJ].[Amount]" caption="Amount" attribute="1" defaultMemberUniqueName="[GJ].[Amount].[All]" allUniqueName="[GJ].[Amount].[All]" dimensionUniqueName="[GJ]" displayFolder="" count="0" memberValueDatatype="20" unbalanced="0" hidden="1"/>
    <cacheHierarchy uniqueName="[GJ].[Batch]" caption="Batch" attribute="1" defaultMemberUniqueName="[GJ].[Batch].[All]" allUniqueName="[GJ].[Batch].[All]" dimensionUniqueName="[GJ]" displayFolder="" count="0" memberValueDatatype="130" unbalanced="0" hidden="1"/>
    <cacheHierarchy uniqueName="[GJ].[CashFlow]" caption="CashFlow" attribute="1" defaultMemberUniqueName="[GJ].[CashFlow].[All]" allUniqueName="[GJ].[CashFlow].[All]" dimensionUniqueName="[GJ]" displayFolder="" count="0" memberValueDatatype="130" unbalanced="0" hidden="1"/>
    <cacheHierarchy uniqueName="[Measures].[IS]" caption="IS" measure="1" displayFolder="" measureGroup="GJ" count="0"/>
    <cacheHierarchy uniqueName="[Measures].[BS]" caption="BS" measure="1" displayFolder="" measureGroup="GJ" count="0"/>
    <cacheHierarchy uniqueName="[Measures].[EQ]" caption="EQ" measure="1" displayFolder="" measureGroup="GJ" count="0"/>
    <cacheHierarchy uniqueName="[Measures].[CF]" caption="CF" measure="1" displayFolder="" measureGroup="GJ" count="0" oneField="1">
      <fieldsUsage count="1">
        <fieldUsage x="2"/>
      </fieldsUsage>
    </cacheHierarchy>
    <cacheHierarchy uniqueName="[Measures].[__XL_Count AG]" caption="__XL_Count AG" measure="1" displayFolder="" measureGroup="AG" count="0" hidden="1"/>
    <cacheHierarchy uniqueName="[Measures].[__XL_Count COAH]" caption="__XL_Count COAH" measure="1" displayFolder="" measureGroup="COAH" count="0" hidden="1"/>
    <cacheHierarchy uniqueName="[Measures].[__XL_Count COA]" caption="__XL_Count COA" measure="1" displayFolder="" measureGroup="COA" count="0" hidden="1"/>
    <cacheHierarchy uniqueName="[Measures].[__XL_Count CCF]" caption="__XL_Count CCF" measure="1" displayFolder="" measureGroup="CCF" count="0" hidden="1"/>
    <cacheHierarchy uniqueName="[Measures].[__XL_Count JB]" caption="__XL_Count JB" measure="1" displayFolder="" measureGroup="JB" count="0" hidden="1"/>
    <cacheHierarchy uniqueName="[Measures].[__XL_Count GJ]" caption="__XL_Count GJ" measure="1" displayFolder="" measureGroup="GJ" count="0" hidden="1"/>
    <cacheHierarchy uniqueName="[Measures].[__XL_Count Date]" caption="__XL_Count Date" measure="1" displayFolder="" measureGroup="Date" count="0" hidden="1"/>
    <cacheHierarchy uniqueName="[Measures].[__No measures defined]" caption="__No measures defined" measure="1" displayFolder="" count="0" hidden="1"/>
  </cacheHierarchies>
  <kpis count="0"/>
  <dimensions count="8">
    <dimension name="AG" uniqueName="[AG]" caption="AG"/>
    <dimension name="CCF" uniqueName="[CCF]" caption="CCF"/>
    <dimension name="COA" uniqueName="[COA]" caption="COA"/>
    <dimension name="COAH" uniqueName="[COAH]" caption="COAH"/>
    <dimension name="Date" uniqueName="[Date]" caption="Date"/>
    <dimension name="GJ" uniqueName="[GJ]" caption="GJ"/>
    <dimension name="JB" uniqueName="[JB]" caption="JB"/>
    <dimension measure="1" name="Measures" uniqueName="[Measures]" caption="Measures"/>
  </dimensions>
  <measureGroups count="7">
    <measureGroup name="AG" caption="AG"/>
    <measureGroup name="CCF" caption="CCF"/>
    <measureGroup name="COA" caption="COA"/>
    <measureGroup name="COAH" caption="COAH"/>
    <measureGroup name="Date" caption="Date"/>
    <measureGroup name="GJ" caption="GJ"/>
    <measureGroup name="JB" caption="JB"/>
  </measureGroups>
  <maps count="16">
    <map measureGroup="0" dimension="0"/>
    <map measureGroup="1" dimension="1"/>
    <map measureGroup="2" dimension="0"/>
    <map measureGroup="2" dimension="2"/>
    <map measureGroup="2" dimension="3"/>
    <map measureGroup="3" dimension="0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  <map measureGroup="5" dimension="6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" refreshedDate="43407.484642708332" createdVersion="5" refreshedVersion="6" minRefreshableVersion="3" recordCount="0" supportSubquery="1" supportAdvancedDrill="1" xr:uid="{00000000-000A-0000-FFFF-FFFF01000000}">
  <cacheSource type="external" connectionId="8"/>
  <cacheFields count="5">
    <cacheField name="[AG].[Group].[Group]" caption="Group" numFmtId="0" hierarchy="1" level="1">
      <sharedItems count="2">
        <s v="REVENUE"/>
        <s v="EXPENSE"/>
      </sharedItems>
    </cacheField>
    <cacheField name="[COAH].[Account Header].[Account Header]" caption="Account Header" numFmtId="0" hierarchy="9" level="1">
      <sharedItems count="2">
        <s v="PENDAPATAN"/>
        <s v="BEBAN"/>
      </sharedItems>
    </cacheField>
    <cacheField name="[COA].[Account Name].[Account Name]" caption="Account Name" numFmtId="0" hierarchy="8" level="1">
      <sharedItems count="5">
        <s v="Pendapatan Jasa"/>
        <s v="Beban iklan"/>
        <s v="Gaji pegawai"/>
        <s v="Listrik, air, telepon"/>
        <s v="Jamuan dan Sumbangan"/>
      </sharedItems>
    </cacheField>
    <cacheField name="[Measures].[IS]" caption="IS" numFmtId="0" hierarchy="38" level="32767"/>
    <cacheField name="[Date].[MONTH].[MONTH]" caption="MONTH" numFmtId="0" hierarchy="12" level="1">
      <sharedItems count="2">
        <s v="Jan"/>
        <s v="Feb"/>
      </sharedItems>
    </cacheField>
  </cacheFields>
  <cacheHierarchies count="50">
    <cacheHierarchy uniqueName="[AG].[AG Number]" caption="AG Number" attribute="1" defaultMemberUniqueName="[AG].[AG Number].[All]" allUniqueName="[AG].[AG Number].[All]" dimensionUniqueName="[AG]" displayFolder="" count="0" memberValueDatatype="20" unbalanced="0"/>
    <cacheHierarchy uniqueName="[AG].[Group]" caption="Group" attribute="1" defaultMemberUniqueName="[AG].[Group].[All]" allUniqueName="[AG].[Group].[All]" dimensionUniqueName="[AG]" displayFolder="" count="2" memberValueDatatype="130" unbalanced="0">
      <fieldsUsage count="2">
        <fieldUsage x="-1"/>
        <fieldUsage x="0"/>
      </fieldsUsage>
    </cacheHierarchy>
    <cacheHierarchy uniqueName="[AG].[Report]" caption="Report" attribute="1" defaultMemberUniqueName="[AG].[Report].[All]" allUniqueName="[AG].[Report].[All]" dimensionUniqueName="[AG]" displayFolder="" count="0" memberValueDatatype="130" unbalanced="0"/>
    <cacheHierarchy uniqueName="[CCF].[CF CODE]" caption="CF CODE" attribute="1" defaultMemberUniqueName="[CCF].[CF CODE].[All]" allUniqueName="[CCF].[CF CODE].[All]" dimensionUniqueName="[CCF]" displayFolder="" count="0" memberValueDatatype="130" unbalanced="0"/>
    <cacheHierarchy uniqueName="[CCF].[Description]" caption="Description" attribute="1" defaultMemberUniqueName="[CCF].[Description].[All]" allUniqueName="[CCF].[Description].[All]" dimensionUniqueName="[CCF]" displayFolder="" count="0" memberValueDatatype="130" unbalanced="0"/>
    <cacheHierarchy uniqueName="[CCF].[Group]" caption="Group" attribute="1" defaultMemberUniqueName="[CCF].[Group].[All]" allUniqueName="[CCF].[Group].[All]" dimensionUniqueName="[CCF]" displayFolder="" count="0" memberValueDatatype="130" unbalanced="0"/>
    <cacheHierarchy uniqueName="[CCF].[Type]" caption="Type" attribute="1" defaultMemberUniqueName="[CCF].[Type].[All]" allUniqueName="[CCF].[Type].[All]" dimensionUniqueName="[CCF]" displayFolder="" count="0" memberValueDatatype="130" unbalanced="0"/>
    <cacheHierarchy uniqueName="[COA].[AccNumber]" caption="AccNumber" attribute="1" defaultMemberUniqueName="[COA].[AccNumber].[All]" allUniqueName="[COA].[AccNumber].[All]" dimensionUniqueName="[COA]" displayFolder="" count="0" memberValueDatatype="20" unbalanced="0"/>
    <cacheHierarchy uniqueName="[COA].[Account Name]" caption="Account Name" attribute="1" defaultMemberUniqueName="[COA].[Account Name].[All]" allUniqueName="[COA].[Account Name].[All]" dimensionUniqueName="[COA]" displayFolder="" count="2" memberValueDatatype="130" unbalanced="0">
      <fieldsUsage count="2">
        <fieldUsage x="-1"/>
        <fieldUsage x="2"/>
      </fieldsUsage>
    </cacheHierarchy>
    <cacheHierarchy uniqueName="[COAH].[Account Header]" caption="Account Header" attribute="1" defaultMemberUniqueName="[COAH].[Account Header].[All]" allUniqueName="[COAH].[Account Header].[All]" dimensionUniqueName="[COAH]" displayFolder="" count="2" memberValueDatatype="130" unbalanced="0">
      <fieldsUsage count="2">
        <fieldUsage x="-1"/>
        <fieldUsage x="1"/>
      </fieldsUsage>
    </cacheHierarchy>
    <cacheHierarchy uniqueName="[COAH].[COAH Number]" caption="COAH Number" attribute="1" defaultMemberUniqueName="[COAH].[COAH Number].[All]" allUniqueName="[COAH].[COAH Number].[All]" dimensionUniqueName="[COAH]" displayFolder="" count="0" memberValueDatatype="20" unbalanced="0"/>
    <cacheHierarchy uniqueName="[Date].[DATE]" caption="DATE" attribute="1" time="1" defaultMemberUniqueName="[Date].[DATE].[All]" allUniqueName="[Date].[DATE].[All]" dimensionUniqueName="[Date]" displayFolder="" count="0" memberValueDatatype="7" unbalanced="0"/>
    <cacheHierarchy uniqueName="[Date].[MONTH]" caption="MONTH" attribute="1" defaultMemberUniqueName="[Date].[MONTH].[All]" allUniqueName="[Date].[MONTH].[All]" dimensionUniqueName="[Date]" displayFolder="" count="2" memberValueDatatype="130" unbalanced="0">
      <fieldsUsage count="2">
        <fieldUsage x="-1"/>
        <fieldUsage x="4"/>
      </fieldsUsage>
    </cacheHierarchy>
    <cacheHierarchy uniqueName="[Date].[MONTH_NUMBER]" caption="MONTH_NUMBER" attribute="1" defaultMemberUniqueName="[Date].[MONTH_NUMBER].[All]" allUniqueName="[Date].[MONTH_NUMBER].[All]" dimensionUniqueName="[Date]" displayFolder="" count="0" memberValueDatatype="20" unbalanced="0"/>
    <cacheHierarchy uniqueName="[Date].[MonthYearNumber]" caption="MonthYearNumber" attribute="1" defaultMemberUniqueName="[Date].[MonthYearNumber].[All]" allUniqueName="[Date].[MonthYearNumber].[All]" dimensionUniqueName="[Date]" displayFolder="" count="0" memberValueDatatype="5" unbalanced="0"/>
    <cacheHierarchy uniqueName="[Date].[YEAR]" caption="YEAR" attribute="1" defaultMemberUniqueName="[Date].[YEAR].[All]" allUniqueName="[Date].[YEAR].[All]" dimensionUniqueName="[Date]" displayFolder="" count="0" memberValueDatatype="20" unbalanced="0"/>
    <cacheHierarchy uniqueName="[GJ].[Date]" caption="Date" attribute="1" time="1" defaultMemberUniqueName="[GJ].[Date].[All]" allUniqueName="[GJ].[Date].[All]" dimensionUniqueName="[GJ]" displayFolder="" count="0" memberValueDatatype="7" unbalanced="0"/>
    <cacheHierarchy uniqueName="[GJ].[Description]" caption="Description" attribute="1" defaultMemberUniqueName="[GJ].[Description].[All]" allUniqueName="[GJ].[Description].[All]" dimensionUniqueName="[GJ]" displayFolder="" count="0" memberValueDatatype="130" unbalanced="0"/>
    <cacheHierarchy uniqueName="[GJ].[Ref]" caption="Ref" attribute="1" defaultMemberUniqueName="[GJ].[Ref].[All]" allUniqueName="[GJ].[Ref].[All]" dimensionUniqueName="[GJ]" displayFolder="" count="0" memberValueDatatype="130" unbalanced="0"/>
    <cacheHierarchy uniqueName="[GJ].[Remarks]" caption="Remarks" attribute="1" defaultMemberUniqueName="[GJ].[Remarks].[All]" allUniqueName="[GJ].[Remarks].[All]" dimensionUniqueName="[GJ]" displayFolder="" count="0" memberValueDatatype="130" unbalanced="0"/>
    <cacheHierarchy uniqueName="[GJ].[Type]" caption="Type" attribute="1" defaultMemberUniqueName="[GJ].[Type].[All]" allUniqueName="[GJ].[Type].[All]" dimensionUniqueName="[GJ]" displayFolder="" count="0" memberValueDatatype="130" unbalanced="0"/>
    <cacheHierarchy uniqueName="[JB].[Batch Number]" caption="Batch Number" attribute="1" defaultMemberUniqueName="[JB].[Batch Number].[All]" allUniqueName="[JB].[Batch Number].[All]" dimensionUniqueName="[JB]" displayFolder="" count="0" memberValueDatatype="130" unbalanced="0"/>
    <cacheHierarchy uniqueName="[JB].[Checker]" caption="Checker" attribute="1" defaultMemberUniqueName="[JB].[Checker].[All]" allUniqueName="[JB].[Checker].[All]" dimensionUniqueName="[JB]" displayFolder="" count="0" memberValueDatatype="20" unbalanced="0"/>
    <cacheHierarchy uniqueName="[JB].[Date]" caption="Date" attribute="1" time="1" defaultMemberUniqueName="[JB].[Date].[All]" allUniqueName="[JB].[Date].[All]" dimensionUniqueName="[JB]" displayFolder="" count="0" memberValueDatatype="7" unbalanced="0"/>
    <cacheHierarchy uniqueName="[JB].[Description]" caption="Description" attribute="1" defaultMemberUniqueName="[JB].[Description].[All]" allUniqueName="[JB].[Description].[All]" dimensionUniqueName="[JB]" displayFolder="" count="0" memberValueDatatype="130" unbalanced="0"/>
    <cacheHierarchy uniqueName="[JB].[Type]" caption="Type" attribute="1" defaultMemberUniqueName="[JB].[Type].[All]" allUniqueName="[JB].[Type].[All]" dimensionUniqueName="[JB]" displayFolder="" count="0" memberValueDatatype="130" unbalanced="0"/>
    <cacheHierarchy uniqueName="[CCF].[Remarks]" caption="Remarks" attribute="1" defaultMemberUniqueName="[CCF].[Remarks].[All]" allUniqueName="[CCF].[Remarks].[All]" dimensionUniqueName="[CCF]" displayFolder="" count="0" memberValueDatatype="130" unbalanced="0" hidden="1"/>
    <cacheHierarchy uniqueName="[COA].[Group]" caption="Group" attribute="1" defaultMemberUniqueName="[COA].[Group].[All]" allUniqueName="[COA].[Group].[All]" dimensionUniqueName="[COA]" displayFolder="" count="0" memberValueDatatype="130" unbalanced="0" hidden="1"/>
    <cacheHierarchy uniqueName="[COA].[Header]" caption="Header" attribute="1" defaultMemberUniqueName="[COA].[Header].[All]" allUniqueName="[COA].[Header].[All]" dimensionUniqueName="[COA]" displayFolder="" count="0" memberValueDatatype="130" unbalanced="0" hidden="1"/>
    <cacheHierarchy uniqueName="[COA].[Normal]" caption="Normal" attribute="1" defaultMemberUniqueName="[COA].[Normal].[All]" allUniqueName="[COA].[Normal].[All]" dimensionUniqueName="[COA]" displayFolder="" count="0" memberValueDatatype="130" unbalanced="0" hidden="1"/>
    <cacheHierarchy uniqueName="[COA].[Remarks]" caption="Remarks" attribute="1" defaultMemberUniqueName="[COA].[Remarks].[All]" allUniqueName="[COA].[Remarks].[All]" dimensionUniqueName="[COA]" displayFolder="" count="0" memberValueDatatype="130" unbalanced="0" hidden="1"/>
    <cacheHierarchy uniqueName="[COAH].[Account Group]" caption="Account Group" attribute="1" defaultMemberUniqueName="[COAH].[Account Group].[All]" allUniqueName="[COAH].[Account Group].[All]" dimensionUniqueName="[COAH]" displayFolder="" count="0" memberValueDatatype="130" unbalanced="0" hidden="1"/>
    <cacheHierarchy uniqueName="[GJ].[Acc Number]" caption="Acc Number" attribute="1" defaultMemberUniqueName="[GJ].[Acc Number].[All]" allUniqueName="[GJ].[Acc Number].[All]" dimensionUniqueName="[GJ]" displayFolder="" count="0" memberValueDatatype="20" unbalanced="0" hidden="1"/>
    <cacheHierarchy uniqueName="[GJ].[Account]" caption="Account" attribute="1" defaultMemberUniqueName="[GJ].[Account].[All]" allUniqueName="[GJ].[Account].[All]" dimensionUniqueName="[GJ]" displayFolder="" count="0" memberValueDatatype="130" unbalanced="0" hidden="1"/>
    <cacheHierarchy uniqueName="[GJ].[Actual Amount]" caption="Actual Amount" attribute="1" defaultMemberUniqueName="[GJ].[Actual Amount].[All]" allUniqueName="[GJ].[Actual Amount].[All]" dimensionUniqueName="[GJ]" displayFolder="" count="0" memberValueDatatype="20" unbalanced="0" hidden="1"/>
    <cacheHierarchy uniqueName="[GJ].[Amount]" caption="Amount" attribute="1" defaultMemberUniqueName="[GJ].[Amount].[All]" allUniqueName="[GJ].[Amount].[All]" dimensionUniqueName="[GJ]" displayFolder="" count="0" memberValueDatatype="20" unbalanced="0" hidden="1"/>
    <cacheHierarchy uniqueName="[GJ].[Batch]" caption="Batch" attribute="1" defaultMemberUniqueName="[GJ].[Batch].[All]" allUniqueName="[GJ].[Batch].[All]" dimensionUniqueName="[GJ]" displayFolder="" count="0" memberValueDatatype="130" unbalanced="0" hidden="1"/>
    <cacheHierarchy uniqueName="[GJ].[CashFlow]" caption="CashFlow" attribute="1" defaultMemberUniqueName="[GJ].[CashFlow].[All]" allUniqueName="[GJ].[CashFlow].[All]" dimensionUniqueName="[GJ]" displayFolder="" count="0" memberValueDatatype="130" unbalanced="0" hidden="1"/>
    <cacheHierarchy uniqueName="[Measures].[IS]" caption="IS" measure="1" displayFolder="" measureGroup="GJ" count="0" oneField="1">
      <fieldsUsage count="1">
        <fieldUsage x="3"/>
      </fieldsUsage>
    </cacheHierarchy>
    <cacheHierarchy uniqueName="[Measures].[BS]" caption="BS" measure="1" displayFolder="" measureGroup="GJ" count="0"/>
    <cacheHierarchy uniqueName="[Measures].[EQ]" caption="EQ" measure="1" displayFolder="" measureGroup="GJ" count="0"/>
    <cacheHierarchy uniqueName="[Measures].[CF]" caption="CF" measure="1" displayFolder="" measureGroup="GJ" count="0"/>
    <cacheHierarchy uniqueName="[Measures].[__XL_Count AG]" caption="__XL_Count AG" measure="1" displayFolder="" measureGroup="AG" count="0" hidden="1"/>
    <cacheHierarchy uniqueName="[Measures].[__XL_Count COAH]" caption="__XL_Count COAH" measure="1" displayFolder="" measureGroup="COAH" count="0" hidden="1"/>
    <cacheHierarchy uniqueName="[Measures].[__XL_Count COA]" caption="__XL_Count COA" measure="1" displayFolder="" measureGroup="COA" count="0" hidden="1"/>
    <cacheHierarchy uniqueName="[Measures].[__XL_Count CCF]" caption="__XL_Count CCF" measure="1" displayFolder="" measureGroup="CCF" count="0" hidden="1"/>
    <cacheHierarchy uniqueName="[Measures].[__XL_Count JB]" caption="__XL_Count JB" measure="1" displayFolder="" measureGroup="JB" count="0" hidden="1"/>
    <cacheHierarchy uniqueName="[Measures].[__XL_Count GJ]" caption="__XL_Count GJ" measure="1" displayFolder="" measureGroup="GJ" count="0" hidden="1"/>
    <cacheHierarchy uniqueName="[Measures].[__XL_Count Date]" caption="__XL_Count Date" measure="1" displayFolder="" measureGroup="Date" count="0" hidden="1"/>
    <cacheHierarchy uniqueName="[Measures].[__No measures defined]" caption="__No measures defined" measure="1" displayFolder="" count="0" hidden="1"/>
  </cacheHierarchies>
  <kpis count="0"/>
  <dimensions count="8">
    <dimension name="AG" uniqueName="[AG]" caption="AG"/>
    <dimension name="CCF" uniqueName="[CCF]" caption="CCF"/>
    <dimension name="COA" uniqueName="[COA]" caption="COA"/>
    <dimension name="COAH" uniqueName="[COAH]" caption="COAH"/>
    <dimension name="Date" uniqueName="[Date]" caption="Date"/>
    <dimension name="GJ" uniqueName="[GJ]" caption="GJ"/>
    <dimension name="JB" uniqueName="[JB]" caption="JB"/>
    <dimension measure="1" name="Measures" uniqueName="[Measures]" caption="Measures"/>
  </dimensions>
  <measureGroups count="7">
    <measureGroup name="AG" caption="AG"/>
    <measureGroup name="CCF" caption="CCF"/>
    <measureGroup name="COA" caption="COA"/>
    <measureGroup name="COAH" caption="COAH"/>
    <measureGroup name="Date" caption="Date"/>
    <measureGroup name="GJ" caption="GJ"/>
    <measureGroup name="JB" caption="JB"/>
  </measureGroups>
  <maps count="16">
    <map measureGroup="0" dimension="0"/>
    <map measureGroup="1" dimension="1"/>
    <map measureGroup="2" dimension="0"/>
    <map measureGroup="2" dimension="2"/>
    <map measureGroup="2" dimension="3"/>
    <map measureGroup="3" dimension="0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  <map measureGroup="5" dimension="6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" refreshedDate="43407.484644097225" createdVersion="5" refreshedVersion="6" minRefreshableVersion="3" recordCount="0" supportSubquery="1" supportAdvancedDrill="1" xr:uid="{00000000-000A-0000-FFFF-FFFF02000000}">
  <cacheSource type="external" connectionId="8"/>
  <cacheFields count="5">
    <cacheField name="[AG].[Group].[Group]" caption="Group" numFmtId="0" hierarchy="1" level="1">
      <sharedItems count="3">
        <s v="ASSET"/>
        <s v="LIABILITIES"/>
        <s v="EQUITY"/>
      </sharedItems>
    </cacheField>
    <cacheField name="[COAH].[Account Header].[Account Header]" caption="Account Header" numFmtId="0" hierarchy="9" level="1">
      <sharedItems count="4">
        <s v="Aset Lancar"/>
        <s v="Aset Tetap"/>
        <s v="Kewajiban Lancar"/>
        <s v="EKUITAS"/>
      </sharedItems>
    </cacheField>
    <cacheField name="[COA].[Account Name].[Account Name]" caption="Account Name" numFmtId="0" hierarchy="8" level="1">
      <sharedItems count="8">
        <s v="Kas"/>
        <s v="Bank"/>
        <s v="Piutang usaha"/>
        <s v="Kendaraan"/>
        <s v="Utang Bank"/>
        <s v="Modal"/>
        <s v="Tambahan Modal disetor"/>
        <s v="Akumulasi Laba"/>
      </sharedItems>
    </cacheField>
    <cacheField name="[Measures].[BS]" caption="BS" numFmtId="0" hierarchy="39" level="32767"/>
    <cacheField name="[Date].[MONTH].[MONTH]" caption="MONTH" numFmtId="0" hierarchy="12" level="1">
      <sharedItems count="2">
        <s v="Jan"/>
        <s v="Feb"/>
      </sharedItems>
    </cacheField>
  </cacheFields>
  <cacheHierarchies count="50">
    <cacheHierarchy uniqueName="[AG].[AG Number]" caption="AG Number" attribute="1" defaultMemberUniqueName="[AG].[AG Number].[All]" allUniqueName="[AG].[AG Number].[All]" dimensionUniqueName="[AG]" displayFolder="" count="0" memberValueDatatype="20" unbalanced="0"/>
    <cacheHierarchy uniqueName="[AG].[Group]" caption="Group" attribute="1" defaultMemberUniqueName="[AG].[Group].[All]" allUniqueName="[AG].[Group].[All]" dimensionUniqueName="[AG]" displayFolder="" count="2" memberValueDatatype="130" unbalanced="0">
      <fieldsUsage count="2">
        <fieldUsage x="-1"/>
        <fieldUsage x="0"/>
      </fieldsUsage>
    </cacheHierarchy>
    <cacheHierarchy uniqueName="[AG].[Report]" caption="Report" attribute="1" defaultMemberUniqueName="[AG].[Report].[All]" allUniqueName="[AG].[Report].[All]" dimensionUniqueName="[AG]" displayFolder="" count="0" memberValueDatatype="130" unbalanced="0"/>
    <cacheHierarchy uniqueName="[CCF].[CF CODE]" caption="CF CODE" attribute="1" defaultMemberUniqueName="[CCF].[CF CODE].[All]" allUniqueName="[CCF].[CF CODE].[All]" dimensionUniqueName="[CCF]" displayFolder="" count="0" memberValueDatatype="130" unbalanced="0"/>
    <cacheHierarchy uniqueName="[CCF].[Description]" caption="Description" attribute="1" defaultMemberUniqueName="[CCF].[Description].[All]" allUniqueName="[CCF].[Description].[All]" dimensionUniqueName="[CCF]" displayFolder="" count="0" memberValueDatatype="130" unbalanced="0"/>
    <cacheHierarchy uniqueName="[CCF].[Group]" caption="Group" attribute="1" defaultMemberUniqueName="[CCF].[Group].[All]" allUniqueName="[CCF].[Group].[All]" dimensionUniqueName="[CCF]" displayFolder="" count="0" memberValueDatatype="130" unbalanced="0"/>
    <cacheHierarchy uniqueName="[CCF].[Type]" caption="Type" attribute="1" defaultMemberUniqueName="[CCF].[Type].[All]" allUniqueName="[CCF].[Type].[All]" dimensionUniqueName="[CCF]" displayFolder="" count="0" memberValueDatatype="130" unbalanced="0"/>
    <cacheHierarchy uniqueName="[COA].[AccNumber]" caption="AccNumber" attribute="1" defaultMemberUniqueName="[COA].[AccNumber].[All]" allUniqueName="[COA].[AccNumber].[All]" dimensionUniqueName="[COA]" displayFolder="" count="0" memberValueDatatype="20" unbalanced="0"/>
    <cacheHierarchy uniqueName="[COA].[Account Name]" caption="Account Name" attribute="1" defaultMemberUniqueName="[COA].[Account Name].[All]" allUniqueName="[COA].[Account Name].[All]" dimensionUniqueName="[COA]" displayFolder="" count="2" memberValueDatatype="130" unbalanced="0">
      <fieldsUsage count="2">
        <fieldUsage x="-1"/>
        <fieldUsage x="2"/>
      </fieldsUsage>
    </cacheHierarchy>
    <cacheHierarchy uniqueName="[COAH].[Account Header]" caption="Account Header" attribute="1" defaultMemberUniqueName="[COAH].[Account Header].[All]" allUniqueName="[COAH].[Account Header].[All]" dimensionUniqueName="[COAH]" displayFolder="" count="2" memberValueDatatype="130" unbalanced="0">
      <fieldsUsage count="2">
        <fieldUsage x="-1"/>
        <fieldUsage x="1"/>
      </fieldsUsage>
    </cacheHierarchy>
    <cacheHierarchy uniqueName="[COAH].[COAH Number]" caption="COAH Number" attribute="1" defaultMemberUniqueName="[COAH].[COAH Number].[All]" allUniqueName="[COAH].[COAH Number].[All]" dimensionUniqueName="[COAH]" displayFolder="" count="0" memberValueDatatype="20" unbalanced="0"/>
    <cacheHierarchy uniqueName="[Date].[DATE]" caption="DATE" attribute="1" time="1" defaultMemberUniqueName="[Date].[DATE].[All]" allUniqueName="[Date].[DATE].[All]" dimensionUniqueName="[Date]" displayFolder="" count="0" memberValueDatatype="7" unbalanced="0"/>
    <cacheHierarchy uniqueName="[Date].[MONTH]" caption="MONTH" attribute="1" defaultMemberUniqueName="[Date].[MONTH].[All]" allUniqueName="[Date].[MONTH].[All]" dimensionUniqueName="[Date]" displayFolder="" count="2" memberValueDatatype="130" unbalanced="0">
      <fieldsUsage count="2">
        <fieldUsage x="-1"/>
        <fieldUsage x="4"/>
      </fieldsUsage>
    </cacheHierarchy>
    <cacheHierarchy uniqueName="[Date].[MONTH_NUMBER]" caption="MONTH_NUMBER" attribute="1" defaultMemberUniqueName="[Date].[MONTH_NUMBER].[All]" allUniqueName="[Date].[MONTH_NUMBER].[All]" dimensionUniqueName="[Date]" displayFolder="" count="0" memberValueDatatype="20" unbalanced="0"/>
    <cacheHierarchy uniqueName="[Date].[MonthYearNumber]" caption="MonthYearNumber" attribute="1" defaultMemberUniqueName="[Date].[MonthYearNumber].[All]" allUniqueName="[Date].[MonthYearNumber].[All]" dimensionUniqueName="[Date]" displayFolder="" count="0" memberValueDatatype="5" unbalanced="0"/>
    <cacheHierarchy uniqueName="[Date].[YEAR]" caption="YEAR" attribute="1" defaultMemberUniqueName="[Date].[YEAR].[All]" allUniqueName="[Date].[YEAR].[All]" dimensionUniqueName="[Date]" displayFolder="" count="0" memberValueDatatype="20" unbalanced="0"/>
    <cacheHierarchy uniqueName="[GJ].[Date]" caption="Date" attribute="1" time="1" defaultMemberUniqueName="[GJ].[Date].[All]" allUniqueName="[GJ].[Date].[All]" dimensionUniqueName="[GJ]" displayFolder="" count="0" memberValueDatatype="7" unbalanced="0"/>
    <cacheHierarchy uniqueName="[GJ].[Description]" caption="Description" attribute="1" defaultMemberUniqueName="[GJ].[Description].[All]" allUniqueName="[GJ].[Description].[All]" dimensionUniqueName="[GJ]" displayFolder="" count="0" memberValueDatatype="130" unbalanced="0"/>
    <cacheHierarchy uniqueName="[GJ].[Ref]" caption="Ref" attribute="1" defaultMemberUniqueName="[GJ].[Ref].[All]" allUniqueName="[GJ].[Ref].[All]" dimensionUniqueName="[GJ]" displayFolder="" count="0" memberValueDatatype="130" unbalanced="0"/>
    <cacheHierarchy uniqueName="[GJ].[Remarks]" caption="Remarks" attribute="1" defaultMemberUniqueName="[GJ].[Remarks].[All]" allUniqueName="[GJ].[Remarks].[All]" dimensionUniqueName="[GJ]" displayFolder="" count="0" memberValueDatatype="130" unbalanced="0"/>
    <cacheHierarchy uniqueName="[GJ].[Type]" caption="Type" attribute="1" defaultMemberUniqueName="[GJ].[Type].[All]" allUniqueName="[GJ].[Type].[All]" dimensionUniqueName="[GJ]" displayFolder="" count="0" memberValueDatatype="130" unbalanced="0"/>
    <cacheHierarchy uniqueName="[JB].[Batch Number]" caption="Batch Number" attribute="1" defaultMemberUniqueName="[JB].[Batch Number].[All]" allUniqueName="[JB].[Batch Number].[All]" dimensionUniqueName="[JB]" displayFolder="" count="0" memberValueDatatype="130" unbalanced="0"/>
    <cacheHierarchy uniqueName="[JB].[Checker]" caption="Checker" attribute="1" defaultMemberUniqueName="[JB].[Checker].[All]" allUniqueName="[JB].[Checker].[All]" dimensionUniqueName="[JB]" displayFolder="" count="0" memberValueDatatype="20" unbalanced="0"/>
    <cacheHierarchy uniqueName="[JB].[Date]" caption="Date" attribute="1" time="1" defaultMemberUniqueName="[JB].[Date].[All]" allUniqueName="[JB].[Date].[All]" dimensionUniqueName="[JB]" displayFolder="" count="0" memberValueDatatype="7" unbalanced="0"/>
    <cacheHierarchy uniqueName="[JB].[Description]" caption="Description" attribute="1" defaultMemberUniqueName="[JB].[Description].[All]" allUniqueName="[JB].[Description].[All]" dimensionUniqueName="[JB]" displayFolder="" count="0" memberValueDatatype="130" unbalanced="0"/>
    <cacheHierarchy uniqueName="[JB].[Type]" caption="Type" attribute="1" defaultMemberUniqueName="[JB].[Type].[All]" allUniqueName="[JB].[Type].[All]" dimensionUniqueName="[JB]" displayFolder="" count="0" memberValueDatatype="130" unbalanced="0"/>
    <cacheHierarchy uniqueName="[CCF].[Remarks]" caption="Remarks" attribute="1" defaultMemberUniqueName="[CCF].[Remarks].[All]" allUniqueName="[CCF].[Remarks].[All]" dimensionUniqueName="[CCF]" displayFolder="" count="0" memberValueDatatype="130" unbalanced="0" hidden="1"/>
    <cacheHierarchy uniqueName="[COA].[Group]" caption="Group" attribute="1" defaultMemberUniqueName="[COA].[Group].[All]" allUniqueName="[COA].[Group].[All]" dimensionUniqueName="[COA]" displayFolder="" count="0" memberValueDatatype="130" unbalanced="0" hidden="1"/>
    <cacheHierarchy uniqueName="[COA].[Header]" caption="Header" attribute="1" defaultMemberUniqueName="[COA].[Header].[All]" allUniqueName="[COA].[Header].[All]" dimensionUniqueName="[COA]" displayFolder="" count="0" memberValueDatatype="130" unbalanced="0" hidden="1"/>
    <cacheHierarchy uniqueName="[COA].[Normal]" caption="Normal" attribute="1" defaultMemberUniqueName="[COA].[Normal].[All]" allUniqueName="[COA].[Normal].[All]" dimensionUniqueName="[COA]" displayFolder="" count="0" memberValueDatatype="130" unbalanced="0" hidden="1"/>
    <cacheHierarchy uniqueName="[COA].[Remarks]" caption="Remarks" attribute="1" defaultMemberUniqueName="[COA].[Remarks].[All]" allUniqueName="[COA].[Remarks].[All]" dimensionUniqueName="[COA]" displayFolder="" count="0" memberValueDatatype="130" unbalanced="0" hidden="1"/>
    <cacheHierarchy uniqueName="[COAH].[Account Group]" caption="Account Group" attribute="1" defaultMemberUniqueName="[COAH].[Account Group].[All]" allUniqueName="[COAH].[Account Group].[All]" dimensionUniqueName="[COAH]" displayFolder="" count="0" memberValueDatatype="130" unbalanced="0" hidden="1"/>
    <cacheHierarchy uniqueName="[GJ].[Acc Number]" caption="Acc Number" attribute="1" defaultMemberUniqueName="[GJ].[Acc Number].[All]" allUniqueName="[GJ].[Acc Number].[All]" dimensionUniqueName="[GJ]" displayFolder="" count="0" memberValueDatatype="20" unbalanced="0" hidden="1"/>
    <cacheHierarchy uniqueName="[GJ].[Account]" caption="Account" attribute="1" defaultMemberUniqueName="[GJ].[Account].[All]" allUniqueName="[GJ].[Account].[All]" dimensionUniqueName="[GJ]" displayFolder="" count="0" memberValueDatatype="130" unbalanced="0" hidden="1"/>
    <cacheHierarchy uniqueName="[GJ].[Actual Amount]" caption="Actual Amount" attribute="1" defaultMemberUniqueName="[GJ].[Actual Amount].[All]" allUniqueName="[GJ].[Actual Amount].[All]" dimensionUniqueName="[GJ]" displayFolder="" count="0" memberValueDatatype="20" unbalanced="0" hidden="1"/>
    <cacheHierarchy uniqueName="[GJ].[Amount]" caption="Amount" attribute="1" defaultMemberUniqueName="[GJ].[Amount].[All]" allUniqueName="[GJ].[Amount].[All]" dimensionUniqueName="[GJ]" displayFolder="" count="0" memberValueDatatype="20" unbalanced="0" hidden="1"/>
    <cacheHierarchy uniqueName="[GJ].[Batch]" caption="Batch" attribute="1" defaultMemberUniqueName="[GJ].[Batch].[All]" allUniqueName="[GJ].[Batch].[All]" dimensionUniqueName="[GJ]" displayFolder="" count="0" memberValueDatatype="130" unbalanced="0" hidden="1"/>
    <cacheHierarchy uniqueName="[GJ].[CashFlow]" caption="CashFlow" attribute="1" defaultMemberUniqueName="[GJ].[CashFlow].[All]" allUniqueName="[GJ].[CashFlow].[All]" dimensionUniqueName="[GJ]" displayFolder="" count="0" memberValueDatatype="130" unbalanced="0" hidden="1"/>
    <cacheHierarchy uniqueName="[Measures].[IS]" caption="IS" measure="1" displayFolder="" measureGroup="GJ" count="0"/>
    <cacheHierarchy uniqueName="[Measures].[BS]" caption="BS" measure="1" displayFolder="" measureGroup="GJ" count="0" oneField="1">
      <fieldsUsage count="1">
        <fieldUsage x="3"/>
      </fieldsUsage>
    </cacheHierarchy>
    <cacheHierarchy uniqueName="[Measures].[EQ]" caption="EQ" measure="1" displayFolder="" measureGroup="GJ" count="0"/>
    <cacheHierarchy uniqueName="[Measures].[CF]" caption="CF" measure="1" displayFolder="" measureGroup="GJ" count="0"/>
    <cacheHierarchy uniqueName="[Measures].[__XL_Count AG]" caption="__XL_Count AG" measure="1" displayFolder="" measureGroup="AG" count="0" hidden="1"/>
    <cacheHierarchy uniqueName="[Measures].[__XL_Count COAH]" caption="__XL_Count COAH" measure="1" displayFolder="" measureGroup="COAH" count="0" hidden="1"/>
    <cacheHierarchy uniqueName="[Measures].[__XL_Count COA]" caption="__XL_Count COA" measure="1" displayFolder="" measureGroup="COA" count="0" hidden="1"/>
    <cacheHierarchy uniqueName="[Measures].[__XL_Count CCF]" caption="__XL_Count CCF" measure="1" displayFolder="" measureGroup="CCF" count="0" hidden="1"/>
    <cacheHierarchy uniqueName="[Measures].[__XL_Count JB]" caption="__XL_Count JB" measure="1" displayFolder="" measureGroup="JB" count="0" hidden="1"/>
    <cacheHierarchy uniqueName="[Measures].[__XL_Count GJ]" caption="__XL_Count GJ" measure="1" displayFolder="" measureGroup="GJ" count="0" hidden="1"/>
    <cacheHierarchy uniqueName="[Measures].[__XL_Count Date]" caption="__XL_Count Date" measure="1" displayFolder="" measureGroup="Date" count="0" hidden="1"/>
    <cacheHierarchy uniqueName="[Measures].[__No measures defined]" caption="__No measures defined" measure="1" displayFolder="" count="0" hidden="1"/>
  </cacheHierarchies>
  <kpis count="0"/>
  <dimensions count="8">
    <dimension name="AG" uniqueName="[AG]" caption="AG"/>
    <dimension name="CCF" uniqueName="[CCF]" caption="CCF"/>
    <dimension name="COA" uniqueName="[COA]" caption="COA"/>
    <dimension name="COAH" uniqueName="[COAH]" caption="COAH"/>
    <dimension name="Date" uniqueName="[Date]" caption="Date"/>
    <dimension name="GJ" uniqueName="[GJ]" caption="GJ"/>
    <dimension name="JB" uniqueName="[JB]" caption="JB"/>
    <dimension measure="1" name="Measures" uniqueName="[Measures]" caption="Measures"/>
  </dimensions>
  <measureGroups count="7">
    <measureGroup name="AG" caption="AG"/>
    <measureGroup name="CCF" caption="CCF"/>
    <measureGroup name="COA" caption="COA"/>
    <measureGroup name="COAH" caption="COAH"/>
    <measureGroup name="Date" caption="Date"/>
    <measureGroup name="GJ" caption="GJ"/>
    <measureGroup name="JB" caption="JB"/>
  </measureGroups>
  <maps count="16">
    <map measureGroup="0" dimension="0"/>
    <map measureGroup="1" dimension="1"/>
    <map measureGroup="2" dimension="0"/>
    <map measureGroup="2" dimension="2"/>
    <map measureGroup="2" dimension="3"/>
    <map measureGroup="3" dimension="0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  <map measureGroup="5" dimension="6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" refreshedDate="43407.484645023149" createdVersion="5" refreshedVersion="6" minRefreshableVersion="3" recordCount="0" supportSubquery="1" supportAdvancedDrill="1" xr:uid="{00000000-000A-0000-FFFF-FFFF03000000}">
  <cacheSource type="external" connectionId="8"/>
  <cacheFields count="3">
    <cacheField name="[COA].[Account Name].[Account Name]" caption="Account Name" numFmtId="0" hierarchy="8" level="1">
      <sharedItems count="3">
        <s v="Modal"/>
        <s v="Tambahan Modal disetor"/>
        <s v="Akumulasi Laba"/>
      </sharedItems>
    </cacheField>
    <cacheField name="[Measures].[EQ]" caption="EQ" numFmtId="0" hierarchy="40" level="32767"/>
    <cacheField name="[Date].[MONTH].[MONTH]" caption="MONTH" numFmtId="0" hierarchy="12" level="1">
      <sharedItems count="2">
        <s v="Jan"/>
        <s v="Feb"/>
      </sharedItems>
    </cacheField>
  </cacheFields>
  <cacheHierarchies count="50">
    <cacheHierarchy uniqueName="[AG].[AG Number]" caption="AG Number" attribute="1" defaultMemberUniqueName="[AG].[AG Number].[All]" allUniqueName="[AG].[AG Number].[All]" dimensionUniqueName="[AG]" displayFolder="" count="0" memberValueDatatype="20" unbalanced="0"/>
    <cacheHierarchy uniqueName="[AG].[Group]" caption="Group" attribute="1" defaultMemberUniqueName="[AG].[Group].[All]" allUniqueName="[AG].[Group].[All]" dimensionUniqueName="[AG]" displayFolder="" count="0" memberValueDatatype="130" unbalanced="0"/>
    <cacheHierarchy uniqueName="[AG].[Report]" caption="Report" attribute="1" defaultMemberUniqueName="[AG].[Report].[All]" allUniqueName="[AG].[Report].[All]" dimensionUniqueName="[AG]" displayFolder="" count="0" memberValueDatatype="130" unbalanced="0"/>
    <cacheHierarchy uniqueName="[CCF].[CF CODE]" caption="CF CODE" attribute="1" defaultMemberUniqueName="[CCF].[CF CODE].[All]" allUniqueName="[CCF].[CF CODE].[All]" dimensionUniqueName="[CCF]" displayFolder="" count="0" memberValueDatatype="130" unbalanced="0"/>
    <cacheHierarchy uniqueName="[CCF].[Description]" caption="Description" attribute="1" defaultMemberUniqueName="[CCF].[Description].[All]" allUniqueName="[CCF].[Description].[All]" dimensionUniqueName="[CCF]" displayFolder="" count="0" memberValueDatatype="130" unbalanced="0"/>
    <cacheHierarchy uniqueName="[CCF].[Group]" caption="Group" attribute="1" defaultMemberUniqueName="[CCF].[Group].[All]" allUniqueName="[CCF].[Group].[All]" dimensionUniqueName="[CCF]" displayFolder="" count="0" memberValueDatatype="130" unbalanced="0"/>
    <cacheHierarchy uniqueName="[CCF].[Type]" caption="Type" attribute="1" defaultMemberUniqueName="[CCF].[Type].[All]" allUniqueName="[CCF].[Type].[All]" dimensionUniqueName="[CCF]" displayFolder="" count="0" memberValueDatatype="130" unbalanced="0"/>
    <cacheHierarchy uniqueName="[COA].[AccNumber]" caption="AccNumber" attribute="1" defaultMemberUniqueName="[COA].[AccNumber].[All]" allUniqueName="[COA].[AccNumber].[All]" dimensionUniqueName="[COA]" displayFolder="" count="0" memberValueDatatype="20" unbalanced="0"/>
    <cacheHierarchy uniqueName="[COA].[Account Name]" caption="Account Name" attribute="1" defaultMemberUniqueName="[COA].[Account Name].[All]" allUniqueName="[COA].[Account Name].[All]" dimensionUniqueName="[COA]" displayFolder="" count="2" memberValueDatatype="130" unbalanced="0">
      <fieldsUsage count="2">
        <fieldUsage x="-1"/>
        <fieldUsage x="0"/>
      </fieldsUsage>
    </cacheHierarchy>
    <cacheHierarchy uniqueName="[COAH].[Account Header]" caption="Account Header" attribute="1" defaultMemberUniqueName="[COAH].[Account Header].[All]" allUniqueName="[COAH].[Account Header].[All]" dimensionUniqueName="[COAH]" displayFolder="" count="0" memberValueDatatype="130" unbalanced="0"/>
    <cacheHierarchy uniqueName="[COAH].[COAH Number]" caption="COAH Number" attribute="1" defaultMemberUniqueName="[COAH].[COAH Number].[All]" allUniqueName="[COAH].[COAH Number].[All]" dimensionUniqueName="[COAH]" displayFolder="" count="0" memberValueDatatype="20" unbalanced="0"/>
    <cacheHierarchy uniqueName="[Date].[DATE]" caption="DATE" attribute="1" time="1" defaultMemberUniqueName="[Date].[DATE].[All]" allUniqueName="[Date].[DATE].[All]" dimensionUniqueName="[Date]" displayFolder="" count="0" memberValueDatatype="7" unbalanced="0"/>
    <cacheHierarchy uniqueName="[Date].[MONTH]" caption="MONTH" attribute="1" defaultMemberUniqueName="[Date].[MONTH].[All]" allUniqueName="[Date].[MONTH].[All]" dimensionUniqueName="[Date]" displayFolder="" count="2" memberValueDatatype="130" unbalanced="0">
      <fieldsUsage count="2">
        <fieldUsage x="-1"/>
        <fieldUsage x="2"/>
      </fieldsUsage>
    </cacheHierarchy>
    <cacheHierarchy uniqueName="[Date].[MONTH_NUMBER]" caption="MONTH_NUMBER" attribute="1" defaultMemberUniqueName="[Date].[MONTH_NUMBER].[All]" allUniqueName="[Date].[MONTH_NUMBER].[All]" dimensionUniqueName="[Date]" displayFolder="" count="0" memberValueDatatype="20" unbalanced="0"/>
    <cacheHierarchy uniqueName="[Date].[MonthYearNumber]" caption="MonthYearNumber" attribute="1" defaultMemberUniqueName="[Date].[MonthYearNumber].[All]" allUniqueName="[Date].[MonthYearNumber].[All]" dimensionUniqueName="[Date]" displayFolder="" count="0" memberValueDatatype="5" unbalanced="0"/>
    <cacheHierarchy uniqueName="[Date].[YEAR]" caption="YEAR" attribute="1" defaultMemberUniqueName="[Date].[YEAR].[All]" allUniqueName="[Date].[YEAR].[All]" dimensionUniqueName="[Date]" displayFolder="" count="0" memberValueDatatype="20" unbalanced="0"/>
    <cacheHierarchy uniqueName="[GJ].[Date]" caption="Date" attribute="1" time="1" defaultMemberUniqueName="[GJ].[Date].[All]" allUniqueName="[GJ].[Date].[All]" dimensionUniqueName="[GJ]" displayFolder="" count="0" memberValueDatatype="7" unbalanced="0"/>
    <cacheHierarchy uniqueName="[GJ].[Description]" caption="Description" attribute="1" defaultMemberUniqueName="[GJ].[Description].[All]" allUniqueName="[GJ].[Description].[All]" dimensionUniqueName="[GJ]" displayFolder="" count="0" memberValueDatatype="130" unbalanced="0"/>
    <cacheHierarchy uniqueName="[GJ].[Ref]" caption="Ref" attribute="1" defaultMemberUniqueName="[GJ].[Ref].[All]" allUniqueName="[GJ].[Ref].[All]" dimensionUniqueName="[GJ]" displayFolder="" count="0" memberValueDatatype="130" unbalanced="0"/>
    <cacheHierarchy uniqueName="[GJ].[Remarks]" caption="Remarks" attribute="1" defaultMemberUniqueName="[GJ].[Remarks].[All]" allUniqueName="[GJ].[Remarks].[All]" dimensionUniqueName="[GJ]" displayFolder="" count="0" memberValueDatatype="130" unbalanced="0"/>
    <cacheHierarchy uniqueName="[GJ].[Type]" caption="Type" attribute="1" defaultMemberUniqueName="[GJ].[Type].[All]" allUniqueName="[GJ].[Type].[All]" dimensionUniqueName="[GJ]" displayFolder="" count="0" memberValueDatatype="130" unbalanced="0"/>
    <cacheHierarchy uniqueName="[JB].[Batch Number]" caption="Batch Number" attribute="1" defaultMemberUniqueName="[JB].[Batch Number].[All]" allUniqueName="[JB].[Batch Number].[All]" dimensionUniqueName="[JB]" displayFolder="" count="0" memberValueDatatype="130" unbalanced="0"/>
    <cacheHierarchy uniqueName="[JB].[Checker]" caption="Checker" attribute="1" defaultMemberUniqueName="[JB].[Checker].[All]" allUniqueName="[JB].[Checker].[All]" dimensionUniqueName="[JB]" displayFolder="" count="0" memberValueDatatype="20" unbalanced="0"/>
    <cacheHierarchy uniqueName="[JB].[Date]" caption="Date" attribute="1" time="1" defaultMemberUniqueName="[JB].[Date].[All]" allUniqueName="[JB].[Date].[All]" dimensionUniqueName="[JB]" displayFolder="" count="0" memberValueDatatype="7" unbalanced="0"/>
    <cacheHierarchy uniqueName="[JB].[Description]" caption="Description" attribute="1" defaultMemberUniqueName="[JB].[Description].[All]" allUniqueName="[JB].[Description].[All]" dimensionUniqueName="[JB]" displayFolder="" count="0" memberValueDatatype="130" unbalanced="0"/>
    <cacheHierarchy uniqueName="[JB].[Type]" caption="Type" attribute="1" defaultMemberUniqueName="[JB].[Type].[All]" allUniqueName="[JB].[Type].[All]" dimensionUniqueName="[JB]" displayFolder="" count="0" memberValueDatatype="130" unbalanced="0"/>
    <cacheHierarchy uniqueName="[CCF].[Remarks]" caption="Remarks" attribute="1" defaultMemberUniqueName="[CCF].[Remarks].[All]" allUniqueName="[CCF].[Remarks].[All]" dimensionUniqueName="[CCF]" displayFolder="" count="0" memberValueDatatype="130" unbalanced="0" hidden="1"/>
    <cacheHierarchy uniqueName="[COA].[Group]" caption="Group" attribute="1" defaultMemberUniqueName="[COA].[Group].[All]" allUniqueName="[COA].[Group].[All]" dimensionUniqueName="[COA]" displayFolder="" count="0" memberValueDatatype="130" unbalanced="0" hidden="1"/>
    <cacheHierarchy uniqueName="[COA].[Header]" caption="Header" attribute="1" defaultMemberUniqueName="[COA].[Header].[All]" allUniqueName="[COA].[Header].[All]" dimensionUniqueName="[COA]" displayFolder="" count="0" memberValueDatatype="130" unbalanced="0" hidden="1"/>
    <cacheHierarchy uniqueName="[COA].[Normal]" caption="Normal" attribute="1" defaultMemberUniqueName="[COA].[Normal].[All]" allUniqueName="[COA].[Normal].[All]" dimensionUniqueName="[COA]" displayFolder="" count="0" memberValueDatatype="130" unbalanced="0" hidden="1"/>
    <cacheHierarchy uniqueName="[COA].[Remarks]" caption="Remarks" attribute="1" defaultMemberUniqueName="[COA].[Remarks].[All]" allUniqueName="[COA].[Remarks].[All]" dimensionUniqueName="[COA]" displayFolder="" count="0" memberValueDatatype="130" unbalanced="0" hidden="1"/>
    <cacheHierarchy uniqueName="[COAH].[Account Group]" caption="Account Group" attribute="1" defaultMemberUniqueName="[COAH].[Account Group].[All]" allUniqueName="[COAH].[Account Group].[All]" dimensionUniqueName="[COAH]" displayFolder="" count="0" memberValueDatatype="130" unbalanced="0" hidden="1"/>
    <cacheHierarchy uniqueName="[GJ].[Acc Number]" caption="Acc Number" attribute="1" defaultMemberUniqueName="[GJ].[Acc Number].[All]" allUniqueName="[GJ].[Acc Number].[All]" dimensionUniqueName="[GJ]" displayFolder="" count="0" memberValueDatatype="20" unbalanced="0" hidden="1"/>
    <cacheHierarchy uniqueName="[GJ].[Account]" caption="Account" attribute="1" defaultMemberUniqueName="[GJ].[Account].[All]" allUniqueName="[GJ].[Account].[All]" dimensionUniqueName="[GJ]" displayFolder="" count="0" memberValueDatatype="130" unbalanced="0" hidden="1"/>
    <cacheHierarchy uniqueName="[GJ].[Actual Amount]" caption="Actual Amount" attribute="1" defaultMemberUniqueName="[GJ].[Actual Amount].[All]" allUniqueName="[GJ].[Actual Amount].[All]" dimensionUniqueName="[GJ]" displayFolder="" count="0" memberValueDatatype="20" unbalanced="0" hidden="1"/>
    <cacheHierarchy uniqueName="[GJ].[Amount]" caption="Amount" attribute="1" defaultMemberUniqueName="[GJ].[Amount].[All]" allUniqueName="[GJ].[Amount].[All]" dimensionUniqueName="[GJ]" displayFolder="" count="0" memberValueDatatype="20" unbalanced="0" hidden="1"/>
    <cacheHierarchy uniqueName="[GJ].[Batch]" caption="Batch" attribute="1" defaultMemberUniqueName="[GJ].[Batch].[All]" allUniqueName="[GJ].[Batch].[All]" dimensionUniqueName="[GJ]" displayFolder="" count="0" memberValueDatatype="130" unbalanced="0" hidden="1"/>
    <cacheHierarchy uniqueName="[GJ].[CashFlow]" caption="CashFlow" attribute="1" defaultMemberUniqueName="[GJ].[CashFlow].[All]" allUniqueName="[GJ].[CashFlow].[All]" dimensionUniqueName="[GJ]" displayFolder="" count="0" memberValueDatatype="130" unbalanced="0" hidden="1"/>
    <cacheHierarchy uniqueName="[Measures].[IS]" caption="IS" measure="1" displayFolder="" measureGroup="GJ" count="0"/>
    <cacheHierarchy uniqueName="[Measures].[BS]" caption="BS" measure="1" displayFolder="" measureGroup="GJ" count="0"/>
    <cacheHierarchy uniqueName="[Measures].[EQ]" caption="EQ" measure="1" displayFolder="" measureGroup="GJ" count="0" oneField="1">
      <fieldsUsage count="1">
        <fieldUsage x="1"/>
      </fieldsUsage>
    </cacheHierarchy>
    <cacheHierarchy uniqueName="[Measures].[CF]" caption="CF" measure="1" displayFolder="" measureGroup="GJ" count="0"/>
    <cacheHierarchy uniqueName="[Measures].[__XL_Count AG]" caption="__XL_Count AG" measure="1" displayFolder="" measureGroup="AG" count="0" hidden="1"/>
    <cacheHierarchy uniqueName="[Measures].[__XL_Count COAH]" caption="__XL_Count COAH" measure="1" displayFolder="" measureGroup="COAH" count="0" hidden="1"/>
    <cacheHierarchy uniqueName="[Measures].[__XL_Count COA]" caption="__XL_Count COA" measure="1" displayFolder="" measureGroup="COA" count="0" hidden="1"/>
    <cacheHierarchy uniqueName="[Measures].[__XL_Count CCF]" caption="__XL_Count CCF" measure="1" displayFolder="" measureGroup="CCF" count="0" hidden="1"/>
    <cacheHierarchy uniqueName="[Measures].[__XL_Count JB]" caption="__XL_Count JB" measure="1" displayFolder="" measureGroup="JB" count="0" hidden="1"/>
    <cacheHierarchy uniqueName="[Measures].[__XL_Count GJ]" caption="__XL_Count GJ" measure="1" displayFolder="" measureGroup="GJ" count="0" hidden="1"/>
    <cacheHierarchy uniqueName="[Measures].[__XL_Count Date]" caption="__XL_Count Date" measure="1" displayFolder="" measureGroup="Date" count="0" hidden="1"/>
    <cacheHierarchy uniqueName="[Measures].[__No measures defined]" caption="__No measures defined" measure="1" displayFolder="" count="0" hidden="1"/>
  </cacheHierarchies>
  <kpis count="0"/>
  <dimensions count="8">
    <dimension name="AG" uniqueName="[AG]" caption="AG"/>
    <dimension name="CCF" uniqueName="[CCF]" caption="CCF"/>
    <dimension name="COA" uniqueName="[COA]" caption="COA"/>
    <dimension name="COAH" uniqueName="[COAH]" caption="COAH"/>
    <dimension name="Date" uniqueName="[Date]" caption="Date"/>
    <dimension name="GJ" uniqueName="[GJ]" caption="GJ"/>
    <dimension name="JB" uniqueName="[JB]" caption="JB"/>
    <dimension measure="1" name="Measures" uniqueName="[Measures]" caption="Measures"/>
  </dimensions>
  <measureGroups count="7">
    <measureGroup name="AG" caption="AG"/>
    <measureGroup name="CCF" caption="CCF"/>
    <measureGroup name="COA" caption="COA"/>
    <measureGroup name="COAH" caption="COAH"/>
    <measureGroup name="Date" caption="Date"/>
    <measureGroup name="GJ" caption="GJ"/>
    <measureGroup name="JB" caption="JB"/>
  </measureGroups>
  <maps count="16">
    <map measureGroup="0" dimension="0"/>
    <map measureGroup="1" dimension="1"/>
    <map measureGroup="2" dimension="0"/>
    <map measureGroup="2" dimension="2"/>
    <map measureGroup="2" dimension="3"/>
    <map measureGroup="3" dimension="0"/>
    <map measureGroup="3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5"/>
    <map measureGroup="5" dimension="6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vIS" cacheId="1" applyNumberFormats="0" applyBorderFormats="0" applyFontFormats="0" applyPatternFormats="0" applyAlignmentFormats="0" applyWidthHeightFormats="1" dataCaption="Values" grandTotalCaption="Laba (Rugi)" tag="f19057f3-a781-475c-84f6-ca6907f1bfa6" updatedVersion="6" minRefreshableVersion="3" itemPrintTitles="1" createdVersion="5" indent="0" outline="1" outlineData="1" multipleFieldFilters="0">
  <location ref="B5:E16" firstHeaderRow="1" firstDataRow="2" firstDataCol="1"/>
  <pivotFields count="5">
    <pivotField axis="axisRow" allDrilled="1" showAll="0" dataSourceSort="1" defaultSubtotal="0" defaultAttributeDrillState="1">
      <items count="2">
        <item x="0"/>
        <item x="1"/>
      </items>
    </pivotField>
    <pivotField axis="axisRow" allDrilled="1" showAll="0" dataSourceSort="1" defaultSubtotal="0" defaultAttributeDrillState="1">
      <items count="2">
        <item x="0"/>
        <item x="1"/>
      </items>
    </pivotField>
    <pivotField axis="axisRow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howAll="0"/>
    <pivotField axis="axisCol" allDrilled="1" showAll="0" dataSourceSort="1" defaultAttributeDrillState="1">
      <items count="3">
        <item x="0"/>
        <item x="1"/>
        <item t="default"/>
      </items>
    </pivotField>
  </pivotFields>
  <rowFields count="3">
    <field x="0"/>
    <field x="1"/>
    <field x="2"/>
  </rowFields>
  <rowItems count="10">
    <i>
      <x/>
    </i>
    <i r="1">
      <x/>
    </i>
    <i r="2">
      <x/>
    </i>
    <i>
      <x v="1"/>
    </i>
    <i r="1">
      <x v="1"/>
    </i>
    <i r="2">
      <x v="1"/>
    </i>
    <i r="2">
      <x v="2"/>
    </i>
    <i r="2">
      <x v="3"/>
    </i>
    <i r="2">
      <x v="4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fld="3" subtotal="count" baseField="0" baseItem="0" numFmtId="38"/>
  </dataFields>
  <formats count="3">
    <format dxfId="53">
      <pivotArea outline="0" collapsedLevelsAreSubtotals="1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1" showColStripes="1" showLastColumn="1"/>
  <rowHierarchiesUsage count="3">
    <rowHierarchyUsage hierarchyUsage="1"/>
    <rowHierarchyUsage hierarchyUsage="9"/>
    <rowHierarchyUsage hierarchyUsage="8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G]"/>
        <x15:activeTabTopLevelEntity name="[COAH]"/>
        <x15:activeTabTopLevelEntity name="[COA]"/>
        <x15:activeTabTopLevelEntity name="[GJ]"/>
        <x15:activeTabTopLevelEntity name="[Dat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vBS" cacheId="2" applyNumberFormats="0" applyBorderFormats="0" applyFontFormats="0" applyPatternFormats="0" applyAlignmentFormats="0" applyWidthHeightFormats="1" dataCaption="Values" grandTotalCaption="Checker" tag="a0ef301f-e30a-4fe5-b663-083250a508a0" updatedVersion="6" minRefreshableVersion="3" itemPrintTitles="1" createdVersion="5" indent="0" outline="1" outlineData="1" multipleFieldFilters="0">
  <location ref="B5:E22" firstHeaderRow="1" firstDataRow="2" firstDataCol="1"/>
  <pivotFields count="5">
    <pivotField axis="axisRow" allDrilled="1" showAll="0" dataSourceSort="1" defaultSubtotal="0" defaultAttributeDrillState="1">
      <items count="3">
        <item x="0"/>
        <item x="1"/>
        <item x="2"/>
      </items>
    </pivotField>
    <pivotField axis="axisRow" allDrilled="1" showAll="0" dataSourceSort="1" defaultSubtotal="0" defaultAttributeDrillState="1">
      <items count="4">
        <item x="0"/>
        <item x="1"/>
        <item x="2"/>
        <item x="3"/>
      </items>
    </pivotField>
    <pivotField axis="axisRow" allDrilled="1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howAll="0"/>
    <pivotField axis="axisCol" allDrilled="1" showAll="0" dataSourceSort="1" defaultAttributeDrillState="1">
      <items count="3">
        <item x="0"/>
        <item x="1"/>
        <item t="default"/>
      </items>
    </pivotField>
  </pivotFields>
  <rowFields count="3">
    <field x="0"/>
    <field x="1"/>
    <field x="2"/>
  </rowFields>
  <rowItems count="16">
    <i>
      <x/>
    </i>
    <i r="1">
      <x/>
    </i>
    <i r="2">
      <x/>
    </i>
    <i r="2">
      <x v="1"/>
    </i>
    <i r="2">
      <x v="2"/>
    </i>
    <i r="1">
      <x v="1"/>
    </i>
    <i r="2">
      <x v="3"/>
    </i>
    <i>
      <x v="1"/>
    </i>
    <i r="1">
      <x v="2"/>
    </i>
    <i r="2">
      <x v="4"/>
    </i>
    <i>
      <x v="2"/>
    </i>
    <i r="1">
      <x v="3"/>
    </i>
    <i r="2">
      <x v="5"/>
    </i>
    <i r="2">
      <x v="6"/>
    </i>
    <i r="2">
      <x v="7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fld="3" subtotal="count" baseField="0" baseItem="0" numFmtId="38"/>
  </dataFields>
  <formats count="3">
    <format dxfId="50">
      <pivotArea outline="0" collapsedLevelsAreSubtotals="1" fieldPosition="0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1" showColStripes="1" showLastColumn="1"/>
  <rowHierarchiesUsage count="3">
    <rowHierarchyUsage hierarchyUsage="1"/>
    <rowHierarchyUsage hierarchyUsage="9"/>
    <rowHierarchyUsage hierarchyUsage="8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G]"/>
        <x15:activeTabTopLevelEntity name="[COAH]"/>
        <x15:activeTabTopLevelEntity name="[COA]"/>
        <x15:activeTabTopLevelEntity name="[GJ]"/>
        <x15:activeTabTopLevelEntity name="[Dat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vCF" cacheId="0" applyNumberFormats="0" applyBorderFormats="0" applyFontFormats="0" applyPatternFormats="0" applyAlignmentFormats="0" applyWidthHeightFormats="1" dataCaption="Values" grandTotalCaption="Net Increase (Net Decrease)" tag="14e7f37e-42ae-4df3-a1af-cc3f668dbb3d" updatedVersion="6" minRefreshableVersion="3" itemPrintTitles="1" createdVersion="5" indent="0" outline="1" outlineData="1" multipleFieldFilters="0">
  <location ref="B5:E17" firstHeaderRow="1" firstDataRow="2" firstDataCol="1"/>
  <pivotFields count="4">
    <pivotField axis="axisRow" allDrilled="1" showAll="0" dataSourceSort="1" defaultAttributeDrillState="1">
      <items count="4">
        <item s="1" x="0"/>
        <item s="1" x="1"/>
        <item s="1" x="2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axis="axisCol" allDrilled="1" showAll="0" dataSourceSort="1" defaultAttributeDrillState="1">
      <items count="3">
        <item x="0"/>
        <item x="1"/>
        <item t="default"/>
      </items>
    </pivotField>
  </pivotFields>
  <rowFields count="2">
    <field x="0"/>
    <field x="1"/>
  </rowFields>
  <rowItems count="11">
    <i>
      <x/>
    </i>
    <i r="1">
      <x/>
    </i>
    <i r="1">
      <x v="1"/>
    </i>
    <i r="1">
      <x v="2"/>
    </i>
    <i>
      <x v="1"/>
    </i>
    <i r="1">
      <x v="3"/>
    </i>
    <i>
      <x v="2"/>
    </i>
    <i r="1">
      <x v="4"/>
    </i>
    <i r="1">
      <x v="5"/>
    </i>
    <i r="1">
      <x v="6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fld="2" subtotal="count" baseField="0" baseItem="0" numFmtId="38"/>
  </dataFields>
  <formats count="15">
    <format dxfId="47">
      <pivotArea outline="0" collapsedLevelsAreSubtotals="1" fieldPosition="0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3" count="0"/>
        </references>
      </pivotArea>
    </format>
    <format dxfId="42">
      <pivotArea dataOnly="0" labelOnly="1" grandCol="1" outline="0" fieldPosition="0"/>
    </format>
    <format dxfId="41">
      <pivotArea field="0" type="button" dataOnly="0" labelOnly="1" outline="0" axis="axisRow" fieldPosition="0"/>
    </format>
    <format dxfId="40">
      <pivotArea dataOnly="0" labelOnly="1" fieldPosition="0">
        <references count="1">
          <reference field="3" count="0"/>
        </references>
      </pivotArea>
    </format>
    <format dxfId="39">
      <pivotArea dataOnly="0" labelOnly="1" grandCol="1" outline="0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dataOnly="0" labelOnly="1" grandCol="1" outline="0" fieldPosition="0"/>
    </format>
    <format dxfId="34">
      <pivotArea dataOnly="0" labelOnly="1" grandCol="1" outline="0" fieldPosition="0"/>
    </format>
    <format dxfId="33">
      <pivotArea dataOnly="0" labelOnly="1" grandCol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1" showColStripes="1" showLastColumn="1"/>
  <rowHierarchiesUsage count="2">
    <rowHierarchyUsage hierarchyUsage="5"/>
    <rowHierarchyUsage hierarchyUsage="4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CF]"/>
        <x15:activeTabTopLevelEntity name="[GJ]"/>
        <x15:activeTabTopLevelEntity name="[Dat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vEQ" cacheId="3" applyNumberFormats="0" applyBorderFormats="0" applyFontFormats="0" applyPatternFormats="0" applyAlignmentFormats="0" applyWidthHeightFormats="1" dataCaption="Values" tag="51a7dba5-e60a-444f-9c48-dd02ae04eac4" updatedVersion="6" minRefreshableVersion="3" rowGrandTotals="0" colGrandTotals="0" itemPrintTitles="1" createdVersion="5" indent="0" outline="1" outlineData="1" multipleFieldFilters="0">
  <location ref="B7:D11" firstHeaderRow="1" firstDataRow="2" firstDataCol="1"/>
  <pivotFields count="3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xis="axisCol" allDrilled="1" showAll="0" dataSourceSort="1" defaultAttributeDrillState="1">
      <items count="3">
        <item x="0"/>
        <item x="1"/>
        <item t="default"/>
      </items>
    </pivotField>
  </pivotFields>
  <rowFields count="1">
    <field x="0"/>
  </rowFields>
  <rowItems count="3">
    <i>
      <x/>
    </i>
    <i>
      <x v="1"/>
    </i>
    <i>
      <x v="2"/>
    </i>
  </rowItems>
  <colFields count="1">
    <field x="2"/>
  </colFields>
  <colItems count="2">
    <i>
      <x/>
    </i>
    <i>
      <x v="1"/>
    </i>
  </colItems>
  <dataFields count="1">
    <dataField fld="1" subtotal="count" baseField="0" baseItem="0" numFmtId="165"/>
  </dataFields>
  <formats count="28">
    <format dxfId="32">
      <pivotArea outline="0" collapsedLevelsAreSubtotals="1" fieldPosition="0"/>
    </format>
    <format dxfId="31">
      <pivotArea field="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fieldPosition="0">
        <references count="1">
          <reference field="2" count="0"/>
        </references>
      </pivotArea>
    </format>
    <format dxfId="28">
      <pivotArea dataOnly="0" labelOnly="1" grandCol="1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grandCol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type="origin" dataOnly="0" labelOnly="1" outline="0" fieldPosition="0"/>
    </format>
    <format dxfId="19">
      <pivotArea field="2" type="button" dataOnly="0" labelOnly="1" outline="0" axis="axisCol" fieldPosition="0"/>
    </format>
    <format dxfId="18">
      <pivotArea type="topRight" dataOnly="0" labelOnly="1" outline="0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fieldPosition="0">
        <references count="1">
          <reference field="2" count="0"/>
        </references>
      </pivotArea>
    </format>
    <format dxfId="14">
      <pivotArea outline="0" collapsedLevelsAreSubtotals="1" fieldPosition="0"/>
    </format>
    <format dxfId="13">
      <pivotArea field="2" type="button" dataOnly="0" labelOnly="1" outline="0" axis="axisCol" fieldPosition="0"/>
    </format>
    <format dxfId="12">
      <pivotArea type="topRight" dataOnly="0" labelOnly="1" outline="0" fieldPosition="0"/>
    </format>
    <format dxfId="11">
      <pivotArea dataOnly="0" labelOnly="1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field="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2" count="0"/>
        </references>
      </pivotArea>
    </format>
    <format dxfId="6">
      <pivotArea collapsedLevelsAreSubtotals="1" fieldPosition="0">
        <references count="1">
          <reference field="0" count="1">
            <x v="1"/>
          </reference>
        </references>
      </pivotArea>
    </format>
    <format dxfId="5">
      <pivotArea dataOnly="0" labelOnly="1" fieldPosition="0">
        <references count="1">
          <reference field="0" count="1">
            <x v="1"/>
          </reference>
        </references>
      </pivotArea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1" showColStripes="1" showLastColumn="1"/>
  <rowHierarchiesUsage count="1">
    <rowHierarchyUsage hierarchyUsage="8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A]"/>
        <x15:activeTabTopLevelEntity name="[GJ]"/>
        <x15:activeTabTopLevelEntity name="[Dat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G" displayName="AG" ref="B6:D14" totalsRowShown="0">
  <autoFilter ref="B6:D14" xr:uid="{00000000-0009-0000-0100-000002000000}"/>
  <tableColumns count="3">
    <tableColumn id="1" xr3:uid="{00000000-0010-0000-0000-000001000000}" name="AG Number"/>
    <tableColumn id="2" xr3:uid="{00000000-0010-0000-0000-000002000000}" name="Group"/>
    <tableColumn id="3" xr3:uid="{00000000-0010-0000-0000-000003000000}" name="Report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AH" displayName="COAH" ref="B6:D19" totalsRowShown="0">
  <autoFilter ref="B6:D19" xr:uid="{00000000-0009-0000-0100-000003000000}"/>
  <tableColumns count="3">
    <tableColumn id="1" xr3:uid="{00000000-0010-0000-0100-000001000000}" name="COAH Number"/>
    <tableColumn id="2" xr3:uid="{00000000-0010-0000-0100-000002000000}" name="Account Header"/>
    <tableColumn id="3" xr3:uid="{00000000-0010-0000-0100-000003000000}" name="Account Group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OA" displayName="COA" ref="B6:G52" totalsRowShown="0">
  <autoFilter ref="B6:G52" xr:uid="{00000000-0009-0000-0100-000005000000}"/>
  <tableColumns count="6">
    <tableColumn id="1" xr3:uid="{00000000-0010-0000-0200-000001000000}" name="AccNumber"/>
    <tableColumn id="2" xr3:uid="{00000000-0010-0000-0200-000002000000}" name="Account Name"/>
    <tableColumn id="3" xr3:uid="{00000000-0010-0000-0200-000003000000}" name="Normal"/>
    <tableColumn id="4" xr3:uid="{00000000-0010-0000-0200-000004000000}" name="Header"/>
    <tableColumn id="5" xr3:uid="{00000000-0010-0000-0200-000005000000}" name="Group" dataDxfId="83">
      <calculatedColumnFormula>VLOOKUP(COA[[#This Row],[Header]],COAH[[Account Header]:[Account Group]],2,FALSE)</calculatedColumnFormula>
    </tableColumn>
    <tableColumn id="6" xr3:uid="{00000000-0010-0000-0200-000006000000}" name="Remarks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CF" displayName="CCF" ref="B6:F19" totalsRowShown="0">
  <autoFilter ref="B6:F19" xr:uid="{00000000-0009-0000-0100-000001000000}"/>
  <tableColumns count="5">
    <tableColumn id="1" xr3:uid="{00000000-0010-0000-0300-000001000000}" name="CF CODE"/>
    <tableColumn id="2" xr3:uid="{00000000-0010-0000-0300-000002000000}" name="Description"/>
    <tableColumn id="3" xr3:uid="{00000000-0010-0000-0300-000003000000}" name="Group"/>
    <tableColumn id="4" xr3:uid="{00000000-0010-0000-0300-000004000000}" name="Type"/>
    <tableColumn id="5" xr3:uid="{00000000-0010-0000-0300-000005000000}" name="Remarks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JB" displayName="JB" ref="B6:F9" totalsRowShown="0">
  <autoFilter ref="B6:F9" xr:uid="{00000000-0009-0000-0100-000004000000}"/>
  <tableColumns count="5">
    <tableColumn id="1" xr3:uid="{00000000-0010-0000-0400-000001000000}" name="Date" dataDxfId="81"/>
    <tableColumn id="2" xr3:uid="{00000000-0010-0000-0400-000002000000}" name="Batch Number"/>
    <tableColumn id="3" xr3:uid="{00000000-0010-0000-0400-000003000000}" name="Description"/>
    <tableColumn id="4" xr3:uid="{00000000-0010-0000-0400-000004000000}" name="Type"/>
    <tableColumn id="5" xr3:uid="{00000000-0010-0000-0400-000005000000}" name="Checker" dataDxfId="80" dataCellStyle="Comma">
      <calculatedColumnFormula>SUMIF(GJ[Batch],JB[[#This Row],[Batch Number]],GJ[Actual Amount])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GJ" displayName="GJ" ref="B6:L43" totalsRowCount="1" headerRowDxfId="79" dataDxfId="78">
  <autoFilter ref="B6:L42" xr:uid="{00000000-0009-0000-0100-000006000000}"/>
  <tableColumns count="11">
    <tableColumn id="1" xr3:uid="{00000000-0010-0000-0500-000001000000}" name="Date" totalsRowLabel="Total" dataDxfId="77"/>
    <tableColumn id="2" xr3:uid="{00000000-0010-0000-0500-000002000000}" name="Batch" dataDxfId="76"/>
    <tableColumn id="3" xr3:uid="{00000000-0010-0000-0500-000003000000}" name="Ref" dataDxfId="75"/>
    <tableColumn id="4" xr3:uid="{00000000-0010-0000-0500-000004000000}" name="Description" dataDxfId="74"/>
    <tableColumn id="5" xr3:uid="{00000000-0010-0000-0500-000005000000}" name="Type" dataDxfId="73"/>
    <tableColumn id="6" xr3:uid="{00000000-0010-0000-0500-000006000000}" name="Amount" dataDxfId="72"/>
    <tableColumn id="7" xr3:uid="{00000000-0010-0000-0500-000007000000}" name="Acc Number" dataDxfId="71"/>
    <tableColumn id="8" xr3:uid="{00000000-0010-0000-0500-000008000000}" name="Account" dataDxfId="70">
      <calculatedColumnFormula>IFERROR(VLOOKUP(GJ[[#This Row],[Acc Number]],COA[[AccNumber]:[Account Name]],2,FALSE),"")</calculatedColumnFormula>
    </tableColumn>
    <tableColumn id="9" xr3:uid="{00000000-0010-0000-0500-000009000000}" name="CashFlow" dataDxfId="69" totalsRowDxfId="68"/>
    <tableColumn id="10" xr3:uid="{00000000-0010-0000-0500-00000A000000}" name="Actual Amount" totalsRowFunction="sum" dataDxfId="67" totalsRowDxfId="66" dataCellStyle="Comma">
      <calculatedColumnFormula>IF(GJ[[#This Row],[Type]]="CREDIT",GJ[[#This Row],[Amount]]*-1,GJ[[#This Row],[Amount]])</calculatedColumnFormula>
    </tableColumn>
    <tableColumn id="11" xr3:uid="{00000000-0010-0000-0500-00000B000000}" name="Remarks" totalsRowFunction="count" dataDxfId="6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LA" displayName="LA" ref="B5:H43" totalsRowCount="1" headerRowDxfId="64">
  <autoFilter ref="B5:H42" xr:uid="{00000000-0009-0000-0100-000008000000}">
    <filterColumn colId="6">
      <customFilters>
        <customFilter operator="notEqual" val=" "/>
      </customFilters>
    </filterColumn>
  </autoFilter>
  <tableColumns count="7">
    <tableColumn id="1" xr3:uid="{00000000-0010-0000-0600-000001000000}" name="Date" totalsRowLabel="Total" dataDxfId="63">
      <calculatedColumnFormula>IF(ROW()=6,startDate,GJ[[#This Row],[Date]])</calculatedColumnFormula>
    </tableColumn>
    <tableColumn id="2" xr3:uid="{00000000-0010-0000-0600-000002000000}" name="Ref" dataDxfId="62">
      <calculatedColumnFormula>IF(ROW()=6,"SA",GJ[[#This Row],[Ref]])</calculatedColumnFormula>
    </tableColumn>
    <tableColumn id="3" xr3:uid="{00000000-0010-0000-0600-000003000000}" name="Description" dataDxfId="61">
      <calculatedColumnFormula>IF(ROW()=6,"Saldo Awal Per - "&amp;TEXT(startDate,"d mmmm yyyy"),GJ[[#This Row],[Description]])</calculatedColumnFormula>
    </tableColumn>
    <tableColumn id="4" xr3:uid="{00000000-0010-0000-0600-000004000000}" name="Debit" totalsRowFunction="sum" dataDxfId="60" totalsRowDxfId="59" dataCellStyle="Comma">
      <calculatedColumnFormula>IF(ROW()&lt;&gt;6,IF(AND(GJ[[#This Row],[Date]]&gt;=startDate,GJ[[#This Row],[Date]]&lt;=endDate,GJ[[#This Row],[Acc Number]]=accountCode,GJ[[#This Row],[Type]]="DEBIT"),GJ[[#This Row],[Amount]],0),0)</calculatedColumnFormula>
    </tableColumn>
    <tableColumn id="5" xr3:uid="{00000000-0010-0000-0600-000005000000}" name="Credit" totalsRowFunction="sum" dataDxfId="58" totalsRowDxfId="57" dataCellStyle="Comma">
      <calculatedColumnFormula>IF(ROW()&lt;&gt;6,IF(AND(GJ[[#This Row],[Date]]&gt;=startDate,GJ[[#This Row],[Date]]&lt;=endDate,GJ[[#This Row],[Acc Number]]=accountCode,GJ[[#This Row],[Type]]="CREDIT"),GJ[[#This Row],[Amount]],0),0)</calculatedColumnFormula>
    </tableColumn>
    <tableColumn id="6" xr3:uid="{00000000-0010-0000-0600-000006000000}" name="Balance" totalsRowFunction="custom" dataDxfId="56" totalsRowDxfId="55" dataCellStyle="Comma">
      <calculatedColumnFormula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calculatedColumnFormula>
      <totalsRowFormula>OFFSET(LA[[#Totals],[Balance]],-1,0)</totalsRowFormula>
    </tableColumn>
    <tableColumn id="7" xr3:uid="{00000000-0010-0000-0600-000007000000}" name="Filter" totalsRowFunction="count" dataDxfId="54">
      <calculatedColumnFormula>IF(ROW()=6,"OK",IF(AND(GJ[[#This Row],[Acc Number]]=accountCode,GJ[[#This Row],[Date]]&gt;=startDate,GJ[[#This Row],[Date]]&lt;=endDate),"OK",""))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Date" displayName="Date" ref="A1:E366" totalsRowShown="0">
  <autoFilter ref="A1:E366" xr:uid="{00000000-0009-0000-0100-000007000000}"/>
  <tableColumns count="5">
    <tableColumn id="1" xr3:uid="{00000000-0010-0000-0700-000001000000}" name="DATE" dataDxfId="4"/>
    <tableColumn id="2" xr3:uid="{00000000-0010-0000-0700-000002000000}" name="MONTH_NUMBER" dataDxfId="3">
      <calculatedColumnFormula>VALUE(TEXT(Date[[#This Row],[DATE]],"M"))</calculatedColumnFormula>
    </tableColumn>
    <tableColumn id="3" xr3:uid="{00000000-0010-0000-0700-000003000000}" name="MONTH" dataDxfId="2">
      <calculatedColumnFormula>TEXT(Date[[#This Row],[DATE]],"MMM")</calculatedColumnFormula>
    </tableColumn>
    <tableColumn id="4" xr3:uid="{00000000-0010-0000-0700-000004000000}" name="YEAR" dataDxfId="1">
      <calculatedColumnFormula>VALUE(TEXT(Date[[#This Row],[DATE]],"YYYY"))</calculatedColumnFormula>
    </tableColumn>
    <tableColumn id="5" xr3:uid="{00000000-0010-0000-0700-000005000000}" name="MonthYearNumber" dataDxfId="0">
      <calculatedColumnFormula>Date[[#This Row],[YEAR]]+(Date[[#This Row],[MONTH_NUMBER]]/100)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4"/>
  <sheetViews>
    <sheetView showGridLines="0" zoomScale="145" zoomScaleNormal="14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x14ac:dyDescent="0.25"/>
  <cols>
    <col min="1" max="1" width="0.5703125" customWidth="1"/>
    <col min="2" max="2" width="11" customWidth="1"/>
    <col min="3" max="3" width="20.28515625" customWidth="1"/>
    <col min="4" max="4" width="8.5703125" customWidth="1"/>
  </cols>
  <sheetData>
    <row r="1" spans="2:4" ht="21" x14ac:dyDescent="0.35">
      <c r="B1" s="10" t="str">
        <f>setNamaPerusahaan</f>
        <v>OcingAccConsult</v>
      </c>
      <c r="C1" s="11"/>
      <c r="D1" s="11"/>
    </row>
    <row r="2" spans="2:4" x14ac:dyDescent="0.25">
      <c r="B2" s="12" t="str">
        <f>setAlamatPerusahaan</f>
        <v>Jl, abc1234, Jakarta</v>
      </c>
      <c r="C2" s="11"/>
      <c r="D2" s="11"/>
    </row>
    <row r="3" spans="2:4" ht="15.75" x14ac:dyDescent="0.25">
      <c r="B3" s="13" t="s">
        <v>0</v>
      </c>
      <c r="C3" s="11"/>
      <c r="D3" s="11"/>
    </row>
    <row r="4" spans="2:4" ht="3.75" customHeight="1" x14ac:dyDescent="0.25">
      <c r="B4" s="11"/>
      <c r="C4" s="11"/>
      <c r="D4" s="11"/>
    </row>
    <row r="5" spans="2:4" hidden="1" x14ac:dyDescent="0.25">
      <c r="B5" s="11"/>
      <c r="C5" s="11"/>
      <c r="D5" s="11"/>
    </row>
    <row r="6" spans="2:4" x14ac:dyDescent="0.25">
      <c r="B6" t="s">
        <v>1</v>
      </c>
      <c r="C6" t="s">
        <v>2</v>
      </c>
      <c r="D6" t="s">
        <v>3</v>
      </c>
    </row>
    <row r="7" spans="2:4" x14ac:dyDescent="0.25">
      <c r="B7">
        <v>1</v>
      </c>
      <c r="C7" t="s">
        <v>4</v>
      </c>
      <c r="D7" t="s">
        <v>5</v>
      </c>
    </row>
    <row r="8" spans="2:4" x14ac:dyDescent="0.25">
      <c r="B8">
        <v>2</v>
      </c>
      <c r="C8" t="s">
        <v>6</v>
      </c>
      <c r="D8" t="s">
        <v>5</v>
      </c>
    </row>
    <row r="9" spans="2:4" x14ac:dyDescent="0.25">
      <c r="B9">
        <v>3</v>
      </c>
      <c r="C9" t="s">
        <v>7</v>
      </c>
      <c r="D9" t="s">
        <v>5</v>
      </c>
    </row>
    <row r="10" spans="2:4" x14ac:dyDescent="0.25">
      <c r="B10">
        <v>4</v>
      </c>
      <c r="C10" t="s">
        <v>8</v>
      </c>
      <c r="D10" t="s">
        <v>9</v>
      </c>
    </row>
    <row r="11" spans="2:4" x14ac:dyDescent="0.25">
      <c r="B11">
        <v>5</v>
      </c>
      <c r="C11" t="s">
        <v>10</v>
      </c>
      <c r="D11" t="s">
        <v>9</v>
      </c>
    </row>
    <row r="12" spans="2:4" x14ac:dyDescent="0.25">
      <c r="B12">
        <v>6</v>
      </c>
      <c r="C12" t="s">
        <v>11</v>
      </c>
      <c r="D12" t="s">
        <v>9</v>
      </c>
    </row>
    <row r="13" spans="2:4" x14ac:dyDescent="0.25">
      <c r="B13">
        <v>7</v>
      </c>
      <c r="C13" t="s">
        <v>12</v>
      </c>
      <c r="D13" t="s">
        <v>9</v>
      </c>
    </row>
    <row r="14" spans="2:4" x14ac:dyDescent="0.25">
      <c r="B14">
        <v>9</v>
      </c>
      <c r="C14" t="s">
        <v>164</v>
      </c>
      <c r="D14" t="s">
        <v>164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1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2" sqref="B12"/>
    </sheetView>
  </sheetViews>
  <sheetFormatPr defaultRowHeight="15" x14ac:dyDescent="0.25"/>
  <cols>
    <col min="1" max="1" width="1" customWidth="1"/>
    <col min="2" max="2" width="14.140625" bestFit="1" customWidth="1"/>
    <col min="3" max="3" width="24.85546875" customWidth="1"/>
    <col min="4" max="4" width="14.42578125" bestFit="1" customWidth="1"/>
  </cols>
  <sheetData>
    <row r="1" spans="2:4" ht="21" x14ac:dyDescent="0.35">
      <c r="B1" s="10" t="str">
        <f>setNamaPerusahaan</f>
        <v>OcingAccConsult</v>
      </c>
      <c r="C1" s="11"/>
      <c r="D1" s="11"/>
    </row>
    <row r="2" spans="2:4" x14ac:dyDescent="0.25">
      <c r="B2" s="12" t="str">
        <f>setAlamatPerusahaan</f>
        <v>Jl, abc1234, Jakarta</v>
      </c>
      <c r="C2" s="11"/>
      <c r="D2" s="11"/>
    </row>
    <row r="3" spans="2:4" ht="15.75" x14ac:dyDescent="0.25">
      <c r="B3" s="13" t="s">
        <v>134</v>
      </c>
      <c r="C3" s="11"/>
      <c r="D3" s="11"/>
    </row>
    <row r="4" spans="2:4" ht="3.75" customHeight="1" x14ac:dyDescent="0.25"/>
    <row r="5" spans="2:4" hidden="1" x14ac:dyDescent="0.25"/>
    <row r="6" spans="2:4" x14ac:dyDescent="0.25">
      <c r="B6" t="s">
        <v>13</v>
      </c>
      <c r="C6" t="s">
        <v>14</v>
      </c>
      <c r="D6" t="s">
        <v>15</v>
      </c>
    </row>
    <row r="7" spans="2:4" x14ac:dyDescent="0.25">
      <c r="B7">
        <v>1000</v>
      </c>
      <c r="C7" t="s">
        <v>4</v>
      </c>
      <c r="D7" t="s">
        <v>4</v>
      </c>
    </row>
    <row r="8" spans="2:4" x14ac:dyDescent="0.25">
      <c r="B8">
        <v>1001</v>
      </c>
      <c r="C8" t="s">
        <v>16</v>
      </c>
      <c r="D8" t="s">
        <v>4</v>
      </c>
    </row>
    <row r="9" spans="2:4" x14ac:dyDescent="0.25">
      <c r="B9">
        <v>1300</v>
      </c>
      <c r="C9" t="s">
        <v>17</v>
      </c>
      <c r="D9" t="s">
        <v>4</v>
      </c>
    </row>
    <row r="10" spans="2:4" x14ac:dyDescent="0.25">
      <c r="B10">
        <v>2000</v>
      </c>
      <c r="C10" t="s">
        <v>18</v>
      </c>
      <c r="D10" t="s">
        <v>6</v>
      </c>
    </row>
    <row r="11" spans="2:4" x14ac:dyDescent="0.25">
      <c r="B11">
        <v>2001</v>
      </c>
      <c r="C11" t="s">
        <v>19</v>
      </c>
      <c r="D11" t="s">
        <v>6</v>
      </c>
    </row>
    <row r="12" spans="2:4" x14ac:dyDescent="0.25">
      <c r="B12">
        <v>2200</v>
      </c>
      <c r="C12" t="s">
        <v>20</v>
      </c>
      <c r="D12" t="s">
        <v>6</v>
      </c>
    </row>
    <row r="13" spans="2:4" x14ac:dyDescent="0.25">
      <c r="B13">
        <v>3000</v>
      </c>
      <c r="C13" t="s">
        <v>21</v>
      </c>
      <c r="D13" t="s">
        <v>7</v>
      </c>
    </row>
    <row r="14" spans="2:4" x14ac:dyDescent="0.25">
      <c r="B14">
        <v>4000</v>
      </c>
      <c r="C14" t="s">
        <v>22</v>
      </c>
      <c r="D14" t="s">
        <v>8</v>
      </c>
    </row>
    <row r="15" spans="2:4" x14ac:dyDescent="0.25">
      <c r="B15">
        <v>5000</v>
      </c>
      <c r="C15" t="s">
        <v>23</v>
      </c>
      <c r="D15" t="s">
        <v>10</v>
      </c>
    </row>
    <row r="16" spans="2:4" x14ac:dyDescent="0.25">
      <c r="B16">
        <v>6000</v>
      </c>
      <c r="C16" t="s">
        <v>24</v>
      </c>
      <c r="D16" t="s">
        <v>11</v>
      </c>
    </row>
    <row r="17" spans="2:4" x14ac:dyDescent="0.25">
      <c r="B17">
        <v>7000</v>
      </c>
      <c r="C17" t="s">
        <v>25</v>
      </c>
      <c r="D17" t="s">
        <v>12</v>
      </c>
    </row>
    <row r="18" spans="2:4" x14ac:dyDescent="0.25">
      <c r="B18">
        <v>8000</v>
      </c>
      <c r="C18" t="s">
        <v>26</v>
      </c>
      <c r="D18" t="s">
        <v>10</v>
      </c>
    </row>
    <row r="19" spans="2:4" x14ac:dyDescent="0.25">
      <c r="B19">
        <v>9999</v>
      </c>
      <c r="C19" t="s">
        <v>165</v>
      </c>
      <c r="D19" t="s">
        <v>164</v>
      </c>
    </row>
  </sheetData>
  <dataValidations count="1">
    <dataValidation type="list" allowBlank="1" showInputMessage="1" showErrorMessage="1" sqref="D7:D19" xr:uid="{00000000-0002-0000-0100-000000000000}">
      <formula1>AccGroup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G52"/>
  <sheetViews>
    <sheetView showGridLines="0" zoomScale="115" zoomScaleNormal="115" workbookViewId="0">
      <pane xSplit="1" ySplit="6" topLeftCell="B42" activePane="bottomRight" state="frozen"/>
      <selection pane="topRight" activeCell="B1" sqref="B1"/>
      <selection pane="bottomLeft" activeCell="A7" sqref="A7"/>
      <selection pane="bottomRight" activeCell="C62" sqref="C62"/>
    </sheetView>
  </sheetViews>
  <sheetFormatPr defaultRowHeight="15" x14ac:dyDescent="0.25"/>
  <cols>
    <col min="1" max="1" width="0.42578125" customWidth="1"/>
    <col min="2" max="2" width="11.85546875" bestFit="1" customWidth="1"/>
    <col min="3" max="3" width="35" bestFit="1" customWidth="1"/>
    <col min="4" max="4" width="8.5703125" bestFit="1" customWidth="1"/>
    <col min="5" max="5" width="24" bestFit="1" customWidth="1"/>
    <col min="6" max="6" width="22" customWidth="1"/>
    <col min="7" max="7" width="26.5703125" customWidth="1"/>
  </cols>
  <sheetData>
    <row r="1" spans="2:7" ht="21" x14ac:dyDescent="0.35">
      <c r="B1" s="10" t="str">
        <f>setNamaPerusahaan</f>
        <v>OcingAccConsult</v>
      </c>
      <c r="C1" s="11"/>
      <c r="D1" s="11"/>
      <c r="E1" s="11"/>
      <c r="F1" s="11"/>
      <c r="G1" s="11"/>
    </row>
    <row r="2" spans="2:7" x14ac:dyDescent="0.25">
      <c r="B2" s="12" t="str">
        <f>setAlamatPerusahaan</f>
        <v>Jl, abc1234, Jakarta</v>
      </c>
      <c r="C2" s="11"/>
      <c r="D2" s="11"/>
      <c r="E2" s="11"/>
      <c r="F2" s="11"/>
      <c r="G2" s="11"/>
    </row>
    <row r="3" spans="2:7" ht="15.75" x14ac:dyDescent="0.25">
      <c r="B3" s="13" t="s">
        <v>127</v>
      </c>
      <c r="C3" s="11"/>
      <c r="D3" s="11"/>
      <c r="E3" s="11"/>
      <c r="F3" s="11"/>
      <c r="G3" s="11"/>
    </row>
    <row r="4" spans="2:7" ht="3.75" customHeight="1" x14ac:dyDescent="0.25">
      <c r="B4" s="11"/>
      <c r="C4" s="11"/>
      <c r="D4" s="11"/>
      <c r="E4" s="11"/>
      <c r="F4" s="11"/>
      <c r="G4" s="11"/>
    </row>
    <row r="5" spans="2:7" hidden="1" x14ac:dyDescent="0.25">
      <c r="B5" s="11"/>
      <c r="C5" s="11"/>
      <c r="D5" s="11"/>
      <c r="E5" s="11"/>
      <c r="F5" s="11"/>
      <c r="G5" s="11"/>
    </row>
    <row r="6" spans="2:7" x14ac:dyDescent="0.25">
      <c r="B6" t="s">
        <v>27</v>
      </c>
      <c r="C6" t="s">
        <v>28</v>
      </c>
      <c r="D6" t="s">
        <v>29</v>
      </c>
      <c r="E6" t="s">
        <v>76</v>
      </c>
      <c r="F6" t="s">
        <v>2</v>
      </c>
      <c r="G6" t="s">
        <v>30</v>
      </c>
    </row>
    <row r="7" spans="2:7" x14ac:dyDescent="0.25">
      <c r="B7">
        <v>1002</v>
      </c>
      <c r="C7" t="s">
        <v>31</v>
      </c>
      <c r="D7" t="s">
        <v>74</v>
      </c>
      <c r="E7" t="s">
        <v>16</v>
      </c>
      <c r="F7" t="str">
        <f>VLOOKUP(COA[[#This Row],[Header]],COAH[[Account Header]:[Account Group]],2,FALSE)</f>
        <v>ASSET</v>
      </c>
      <c r="G7" t="s">
        <v>77</v>
      </c>
    </row>
    <row r="8" spans="2:7" x14ac:dyDescent="0.25">
      <c r="B8">
        <v>1010</v>
      </c>
      <c r="C8" t="s">
        <v>32</v>
      </c>
      <c r="D8" t="s">
        <v>74</v>
      </c>
      <c r="E8" t="s">
        <v>16</v>
      </c>
      <c r="F8" t="str">
        <f>VLOOKUP(COA[[#This Row],[Header]],COAH[[Account Header]:[Account Group]],2,FALSE)</f>
        <v>ASSET</v>
      </c>
    </row>
    <row r="9" spans="2:7" x14ac:dyDescent="0.25">
      <c r="B9">
        <v>1100</v>
      </c>
      <c r="C9" t="s">
        <v>33</v>
      </c>
      <c r="D9" t="s">
        <v>74</v>
      </c>
      <c r="E9" t="s">
        <v>16</v>
      </c>
      <c r="F9" t="str">
        <f>VLOOKUP(COA[[#This Row],[Header]],COAH[[Account Header]:[Account Group]],2,FALSE)</f>
        <v>ASSET</v>
      </c>
    </row>
    <row r="10" spans="2:7" x14ac:dyDescent="0.25">
      <c r="B10">
        <v>1150</v>
      </c>
      <c r="C10" t="s">
        <v>34</v>
      </c>
      <c r="D10" t="s">
        <v>74</v>
      </c>
      <c r="E10" t="s">
        <v>16</v>
      </c>
      <c r="F10" t="str">
        <f>VLOOKUP(COA[[#This Row],[Header]],COAH[[Account Header]:[Account Group]],2,FALSE)</f>
        <v>ASSET</v>
      </c>
    </row>
    <row r="11" spans="2:7" x14ac:dyDescent="0.25">
      <c r="B11">
        <v>1200</v>
      </c>
      <c r="C11" t="s">
        <v>35</v>
      </c>
      <c r="D11" t="s">
        <v>74</v>
      </c>
      <c r="E11" t="s">
        <v>16</v>
      </c>
      <c r="F11" t="str">
        <f>VLOOKUP(COA[[#This Row],[Header]],COAH[[Account Header]:[Account Group]],2,FALSE)</f>
        <v>ASSET</v>
      </c>
    </row>
    <row r="12" spans="2:7" x14ac:dyDescent="0.25">
      <c r="B12">
        <v>1203</v>
      </c>
      <c r="C12" t="s">
        <v>36</v>
      </c>
      <c r="D12" t="s">
        <v>74</v>
      </c>
      <c r="E12" t="s">
        <v>16</v>
      </c>
      <c r="F12" t="str">
        <f>VLOOKUP(COA[[#This Row],[Header]],COAH[[Account Header]:[Account Group]],2,FALSE)</f>
        <v>ASSET</v>
      </c>
    </row>
    <row r="13" spans="2:7" x14ac:dyDescent="0.25">
      <c r="B13">
        <v>1310</v>
      </c>
      <c r="C13" t="s">
        <v>37</v>
      </c>
      <c r="D13" t="s">
        <v>74</v>
      </c>
      <c r="E13" t="s">
        <v>17</v>
      </c>
      <c r="F13" t="str">
        <f>VLOOKUP(COA[[#This Row],[Header]],COAH[[Account Header]:[Account Group]],2,FALSE)</f>
        <v>ASSET</v>
      </c>
    </row>
    <row r="14" spans="2:7" x14ac:dyDescent="0.25">
      <c r="B14">
        <v>1320</v>
      </c>
      <c r="C14" t="s">
        <v>38</v>
      </c>
      <c r="D14" t="s">
        <v>74</v>
      </c>
      <c r="E14" t="s">
        <v>17</v>
      </c>
      <c r="F14" t="str">
        <f>VLOOKUP(COA[[#This Row],[Header]],COAH[[Account Header]:[Account Group]],2,FALSE)</f>
        <v>ASSET</v>
      </c>
    </row>
    <row r="15" spans="2:7" x14ac:dyDescent="0.25">
      <c r="B15">
        <v>1321</v>
      </c>
      <c r="C15" t="s">
        <v>39</v>
      </c>
      <c r="D15" t="s">
        <v>75</v>
      </c>
      <c r="E15" t="s">
        <v>17</v>
      </c>
      <c r="F15" t="str">
        <f>VLOOKUP(COA[[#This Row],[Header]],COAH[[Account Header]:[Account Group]],2,FALSE)</f>
        <v>ASSET</v>
      </c>
    </row>
    <row r="16" spans="2:7" x14ac:dyDescent="0.25">
      <c r="B16">
        <v>1330</v>
      </c>
      <c r="C16" t="s">
        <v>40</v>
      </c>
      <c r="D16" t="s">
        <v>74</v>
      </c>
      <c r="E16" t="s">
        <v>17</v>
      </c>
      <c r="F16" t="str">
        <f>VLOOKUP(COA[[#This Row],[Header]],COAH[[Account Header]:[Account Group]],2,FALSE)</f>
        <v>ASSET</v>
      </c>
    </row>
    <row r="17" spans="2:6" x14ac:dyDescent="0.25">
      <c r="B17">
        <v>1331</v>
      </c>
      <c r="C17" t="s">
        <v>41</v>
      </c>
      <c r="D17" t="s">
        <v>75</v>
      </c>
      <c r="E17" t="s">
        <v>17</v>
      </c>
      <c r="F17" t="str">
        <f>VLOOKUP(COA[[#This Row],[Header]],COAH[[Account Header]:[Account Group]],2,FALSE)</f>
        <v>ASSET</v>
      </c>
    </row>
    <row r="18" spans="2:6" x14ac:dyDescent="0.25">
      <c r="B18">
        <v>1340</v>
      </c>
      <c r="C18" t="s">
        <v>150</v>
      </c>
      <c r="D18" t="s">
        <v>74</v>
      </c>
      <c r="E18" t="s">
        <v>17</v>
      </c>
      <c r="F18" s="14" t="str">
        <f>VLOOKUP(COA[[#This Row],[Header]],COAH[[Account Header]:[Account Group]],2,FALSE)</f>
        <v>ASSET</v>
      </c>
    </row>
    <row r="19" spans="2:6" x14ac:dyDescent="0.25">
      <c r="B19">
        <v>1341</v>
      </c>
      <c r="C19" t="s">
        <v>151</v>
      </c>
      <c r="D19" t="s">
        <v>75</v>
      </c>
      <c r="E19" t="s">
        <v>17</v>
      </c>
      <c r="F19" s="14" t="str">
        <f>VLOOKUP(COA[[#This Row],[Header]],COAH[[Account Header]:[Account Group]],2,FALSE)</f>
        <v>ASSET</v>
      </c>
    </row>
    <row r="20" spans="2:6" x14ac:dyDescent="0.25">
      <c r="B20">
        <v>1400</v>
      </c>
      <c r="C20" t="s">
        <v>42</v>
      </c>
      <c r="D20" t="s">
        <v>74</v>
      </c>
      <c r="E20" t="s">
        <v>17</v>
      </c>
      <c r="F20" t="str">
        <f>VLOOKUP(COA[[#This Row],[Header]],COAH[[Account Header]:[Account Group]],2,FALSE)</f>
        <v>ASSET</v>
      </c>
    </row>
    <row r="21" spans="2:6" x14ac:dyDescent="0.25">
      <c r="B21">
        <v>2010</v>
      </c>
      <c r="C21" t="s">
        <v>43</v>
      </c>
      <c r="D21" t="s">
        <v>75</v>
      </c>
      <c r="E21" t="s">
        <v>19</v>
      </c>
      <c r="F21" t="str">
        <f>VLOOKUP(COA[[#This Row],[Header]],COAH[[Account Header]:[Account Group]],2,FALSE)</f>
        <v>LIABILITIES</v>
      </c>
    </row>
    <row r="22" spans="2:6" x14ac:dyDescent="0.25">
      <c r="B22">
        <v>2050</v>
      </c>
      <c r="C22" t="s">
        <v>44</v>
      </c>
      <c r="D22" t="s">
        <v>75</v>
      </c>
      <c r="E22" t="s">
        <v>19</v>
      </c>
      <c r="F22" t="str">
        <f>VLOOKUP(COA[[#This Row],[Header]],COAH[[Account Header]:[Account Group]],2,FALSE)</f>
        <v>LIABILITIES</v>
      </c>
    </row>
    <row r="23" spans="2:6" x14ac:dyDescent="0.25">
      <c r="B23">
        <v>2100</v>
      </c>
      <c r="C23" t="s">
        <v>45</v>
      </c>
      <c r="D23" t="s">
        <v>75</v>
      </c>
      <c r="E23" t="s">
        <v>19</v>
      </c>
      <c r="F23" t="str">
        <f>VLOOKUP(COA[[#This Row],[Header]],COAH[[Account Header]:[Account Group]],2,FALSE)</f>
        <v>LIABILITIES</v>
      </c>
    </row>
    <row r="24" spans="2:6" x14ac:dyDescent="0.25">
      <c r="B24">
        <v>2110</v>
      </c>
      <c r="C24" t="s">
        <v>46</v>
      </c>
      <c r="D24" t="s">
        <v>75</v>
      </c>
      <c r="E24" t="s">
        <v>19</v>
      </c>
      <c r="F24" t="str">
        <f>VLOOKUP(COA[[#This Row],[Header]],COAH[[Account Header]:[Account Group]],2,FALSE)</f>
        <v>LIABILITIES</v>
      </c>
    </row>
    <row r="25" spans="2:6" x14ac:dyDescent="0.25">
      <c r="B25">
        <v>2201</v>
      </c>
      <c r="C25" t="s">
        <v>47</v>
      </c>
      <c r="D25" t="s">
        <v>75</v>
      </c>
      <c r="E25" t="s">
        <v>19</v>
      </c>
      <c r="F25" t="str">
        <f>VLOOKUP(COA[[#This Row],[Header]],COAH[[Account Header]:[Account Group]],2,FALSE)</f>
        <v>LIABILITIES</v>
      </c>
    </row>
    <row r="26" spans="2:6" x14ac:dyDescent="0.25">
      <c r="B26">
        <v>2230</v>
      </c>
      <c r="C26" t="s">
        <v>48</v>
      </c>
      <c r="D26" t="s">
        <v>75</v>
      </c>
      <c r="E26" t="s">
        <v>20</v>
      </c>
      <c r="F26" t="str">
        <f>VLOOKUP(COA[[#This Row],[Header]],COAH[[Account Header]:[Account Group]],2,FALSE)</f>
        <v>LIABILITIES</v>
      </c>
    </row>
    <row r="27" spans="2:6" x14ac:dyDescent="0.25">
      <c r="B27">
        <v>3001</v>
      </c>
      <c r="C27" t="s">
        <v>49</v>
      </c>
      <c r="D27" t="s">
        <v>75</v>
      </c>
      <c r="E27" t="s">
        <v>21</v>
      </c>
      <c r="F27" t="str">
        <f>VLOOKUP(COA[[#This Row],[Header]],COAH[[Account Header]:[Account Group]],2,FALSE)</f>
        <v>EQUITY</v>
      </c>
    </row>
    <row r="28" spans="2:6" x14ac:dyDescent="0.25">
      <c r="B28">
        <v>3002</v>
      </c>
      <c r="C28" t="s">
        <v>50</v>
      </c>
      <c r="D28" t="s">
        <v>75</v>
      </c>
      <c r="E28" t="s">
        <v>21</v>
      </c>
      <c r="F28" t="str">
        <f>VLOOKUP(COA[[#This Row],[Header]],COAH[[Account Header]:[Account Group]],2,FALSE)</f>
        <v>EQUITY</v>
      </c>
    </row>
    <row r="29" spans="2:6" x14ac:dyDescent="0.25">
      <c r="B29">
        <v>3003</v>
      </c>
      <c r="C29" t="s">
        <v>51</v>
      </c>
      <c r="D29" t="s">
        <v>74</v>
      </c>
      <c r="E29" t="s">
        <v>21</v>
      </c>
      <c r="F29" t="str">
        <f>VLOOKUP(COA[[#This Row],[Header]],COAH[[Account Header]:[Account Group]],2,FALSE)</f>
        <v>EQUITY</v>
      </c>
    </row>
    <row r="30" spans="2:6" x14ac:dyDescent="0.25">
      <c r="B30">
        <v>3010</v>
      </c>
      <c r="C30" t="s">
        <v>52</v>
      </c>
      <c r="D30" t="s">
        <v>75</v>
      </c>
      <c r="E30" t="s">
        <v>21</v>
      </c>
      <c r="F30" t="str">
        <f>VLOOKUP(COA[[#This Row],[Header]],COAH[[Account Header]:[Account Group]],2,FALSE)</f>
        <v>EQUITY</v>
      </c>
    </row>
    <row r="31" spans="2:6" x14ac:dyDescent="0.25">
      <c r="B31">
        <v>4001</v>
      </c>
      <c r="C31" t="s">
        <v>53</v>
      </c>
      <c r="D31" t="s">
        <v>75</v>
      </c>
      <c r="E31" t="s">
        <v>22</v>
      </c>
      <c r="F31" t="str">
        <f>VLOOKUP(COA[[#This Row],[Header]],COAH[[Account Header]:[Account Group]],2,FALSE)</f>
        <v>REVENUE</v>
      </c>
    </row>
    <row r="32" spans="2:6" x14ac:dyDescent="0.25">
      <c r="B32">
        <v>5010</v>
      </c>
      <c r="C32" t="s">
        <v>54</v>
      </c>
      <c r="D32" t="s">
        <v>74</v>
      </c>
      <c r="E32" t="s">
        <v>23</v>
      </c>
      <c r="F32" t="str">
        <f>VLOOKUP(COA[[#This Row],[Header]],COAH[[Account Header]:[Account Group]],2,FALSE)</f>
        <v>EXPENSE</v>
      </c>
    </row>
    <row r="33" spans="2:6" x14ac:dyDescent="0.25">
      <c r="B33">
        <v>5011</v>
      </c>
      <c r="C33" t="s">
        <v>55</v>
      </c>
      <c r="D33" t="s">
        <v>74</v>
      </c>
      <c r="E33" t="s">
        <v>23</v>
      </c>
      <c r="F33" t="str">
        <f>VLOOKUP(COA[[#This Row],[Header]],COAH[[Account Header]:[Account Group]],2,FALSE)</f>
        <v>EXPENSE</v>
      </c>
    </row>
    <row r="34" spans="2:6" x14ac:dyDescent="0.25">
      <c r="B34">
        <v>5020</v>
      </c>
      <c r="C34" t="s">
        <v>56</v>
      </c>
      <c r="D34" t="s">
        <v>74</v>
      </c>
      <c r="E34" t="s">
        <v>23</v>
      </c>
      <c r="F34" t="str">
        <f>VLOOKUP(COA[[#This Row],[Header]],COAH[[Account Header]:[Account Group]],2,FALSE)</f>
        <v>EXPENSE</v>
      </c>
    </row>
    <row r="35" spans="2:6" x14ac:dyDescent="0.25">
      <c r="B35">
        <v>5021</v>
      </c>
      <c r="C35" t="s">
        <v>57</v>
      </c>
      <c r="D35" t="s">
        <v>74</v>
      </c>
      <c r="E35" t="s">
        <v>23</v>
      </c>
      <c r="F35" t="str">
        <f>VLOOKUP(COA[[#This Row],[Header]],COAH[[Account Header]:[Account Group]],2,FALSE)</f>
        <v>EXPENSE</v>
      </c>
    </row>
    <row r="36" spans="2:6" x14ac:dyDescent="0.25">
      <c r="B36">
        <v>5023</v>
      </c>
      <c r="C36" t="s">
        <v>58</v>
      </c>
      <c r="D36" t="s">
        <v>74</v>
      </c>
      <c r="E36" t="s">
        <v>23</v>
      </c>
      <c r="F36" t="str">
        <f>VLOOKUP(COA[[#This Row],[Header]],COAH[[Account Header]:[Account Group]],2,FALSE)</f>
        <v>EXPENSE</v>
      </c>
    </row>
    <row r="37" spans="2:6" x14ac:dyDescent="0.25">
      <c r="B37">
        <v>5024</v>
      </c>
      <c r="C37" t="s">
        <v>59</v>
      </c>
      <c r="D37" t="s">
        <v>74</v>
      </c>
      <c r="E37" t="s">
        <v>23</v>
      </c>
      <c r="F37" t="str">
        <f>VLOOKUP(COA[[#This Row],[Header]],COAH[[Account Header]:[Account Group]],2,FALSE)</f>
        <v>EXPENSE</v>
      </c>
    </row>
    <row r="38" spans="2:6" x14ac:dyDescent="0.25">
      <c r="B38">
        <v>5025</v>
      </c>
      <c r="C38" t="s">
        <v>60</v>
      </c>
      <c r="D38" t="s">
        <v>74</v>
      </c>
      <c r="E38" t="s">
        <v>23</v>
      </c>
      <c r="F38" t="str">
        <f>VLOOKUP(COA[[#This Row],[Header]],COAH[[Account Header]:[Account Group]],2,FALSE)</f>
        <v>EXPENSE</v>
      </c>
    </row>
    <row r="39" spans="2:6" x14ac:dyDescent="0.25">
      <c r="B39">
        <v>5026</v>
      </c>
      <c r="C39" t="s">
        <v>61</v>
      </c>
      <c r="D39" t="s">
        <v>74</v>
      </c>
      <c r="E39" t="s">
        <v>23</v>
      </c>
      <c r="F39" t="str">
        <f>VLOOKUP(COA[[#This Row],[Header]],COAH[[Account Header]:[Account Group]],2,FALSE)</f>
        <v>EXPENSE</v>
      </c>
    </row>
    <row r="40" spans="2:6" x14ac:dyDescent="0.25">
      <c r="B40">
        <v>5028</v>
      </c>
      <c r="C40" t="s">
        <v>62</v>
      </c>
      <c r="D40" t="s">
        <v>74</v>
      </c>
      <c r="E40" t="s">
        <v>23</v>
      </c>
      <c r="F40" t="str">
        <f>VLOOKUP(COA[[#This Row],[Header]],COAH[[Account Header]:[Account Group]],2,FALSE)</f>
        <v>EXPENSE</v>
      </c>
    </row>
    <row r="41" spans="2:6" x14ac:dyDescent="0.25">
      <c r="B41">
        <v>5029</v>
      </c>
      <c r="C41" t="s">
        <v>63</v>
      </c>
      <c r="D41" t="s">
        <v>74</v>
      </c>
      <c r="E41" t="s">
        <v>23</v>
      </c>
      <c r="F41" t="str">
        <f>VLOOKUP(COA[[#This Row],[Header]],COAH[[Account Header]:[Account Group]],2,FALSE)</f>
        <v>EXPENSE</v>
      </c>
    </row>
    <row r="42" spans="2:6" x14ac:dyDescent="0.25">
      <c r="B42">
        <v>5030</v>
      </c>
      <c r="C42" t="s">
        <v>64</v>
      </c>
      <c r="D42" t="s">
        <v>74</v>
      </c>
      <c r="E42" t="s">
        <v>23</v>
      </c>
      <c r="F42" t="str">
        <f>VLOOKUP(COA[[#This Row],[Header]],COAH[[Account Header]:[Account Group]],2,FALSE)</f>
        <v>EXPENSE</v>
      </c>
    </row>
    <row r="43" spans="2:6" x14ac:dyDescent="0.25">
      <c r="B43">
        <v>5050</v>
      </c>
      <c r="C43" t="s">
        <v>65</v>
      </c>
      <c r="D43" t="s">
        <v>74</v>
      </c>
      <c r="E43" t="s">
        <v>23</v>
      </c>
      <c r="F43" t="str">
        <f>VLOOKUP(COA[[#This Row],[Header]],COAH[[Account Header]:[Account Group]],2,FALSE)</f>
        <v>EXPENSE</v>
      </c>
    </row>
    <row r="44" spans="2:6" x14ac:dyDescent="0.25">
      <c r="B44">
        <v>5060</v>
      </c>
      <c r="C44" t="s">
        <v>66</v>
      </c>
      <c r="D44" t="s">
        <v>74</v>
      </c>
      <c r="E44" t="s">
        <v>23</v>
      </c>
      <c r="F44" t="str">
        <f>VLOOKUP(COA[[#This Row],[Header]],COAH[[Account Header]:[Account Group]],2,FALSE)</f>
        <v>EXPENSE</v>
      </c>
    </row>
    <row r="45" spans="2:6" x14ac:dyDescent="0.25">
      <c r="B45">
        <v>6001</v>
      </c>
      <c r="C45" t="s">
        <v>67</v>
      </c>
      <c r="D45" t="s">
        <v>75</v>
      </c>
      <c r="E45" t="s">
        <v>24</v>
      </c>
      <c r="F45" t="str">
        <f>VLOOKUP(COA[[#This Row],[Header]],COAH[[Account Header]:[Account Group]],2,FALSE)</f>
        <v>GAIN</v>
      </c>
    </row>
    <row r="46" spans="2:6" x14ac:dyDescent="0.25">
      <c r="B46">
        <v>6003</v>
      </c>
      <c r="C46" t="s">
        <v>68</v>
      </c>
      <c r="D46" t="s">
        <v>75</v>
      </c>
      <c r="E46" t="s">
        <v>24</v>
      </c>
      <c r="F46" t="str">
        <f>VLOOKUP(COA[[#This Row],[Header]],COAH[[Account Header]:[Account Group]],2,FALSE)</f>
        <v>GAIN</v>
      </c>
    </row>
    <row r="47" spans="2:6" x14ac:dyDescent="0.25">
      <c r="B47">
        <v>7001</v>
      </c>
      <c r="C47" t="s">
        <v>69</v>
      </c>
      <c r="D47" t="s">
        <v>74</v>
      </c>
      <c r="E47" t="s">
        <v>24</v>
      </c>
      <c r="F47" t="str">
        <f>VLOOKUP(COA[[#This Row],[Header]],COAH[[Account Header]:[Account Group]],2,FALSE)</f>
        <v>GAIN</v>
      </c>
    </row>
    <row r="48" spans="2:6" x14ac:dyDescent="0.25">
      <c r="B48">
        <v>7002</v>
      </c>
      <c r="C48" t="s">
        <v>70</v>
      </c>
      <c r="D48" t="s">
        <v>74</v>
      </c>
      <c r="E48" t="s">
        <v>25</v>
      </c>
      <c r="F48" t="str">
        <f>VLOOKUP(COA[[#This Row],[Header]],COAH[[Account Header]:[Account Group]],2,FALSE)</f>
        <v>LOSS</v>
      </c>
    </row>
    <row r="49" spans="2:6" x14ac:dyDescent="0.25">
      <c r="B49">
        <v>7004</v>
      </c>
      <c r="C49" t="s">
        <v>71</v>
      </c>
      <c r="D49" t="s">
        <v>74</v>
      </c>
      <c r="E49" t="s">
        <v>25</v>
      </c>
      <c r="F49" t="str">
        <f>VLOOKUP(COA[[#This Row],[Header]],COAH[[Account Header]:[Account Group]],2,FALSE)</f>
        <v>LOSS</v>
      </c>
    </row>
    <row r="50" spans="2:6" x14ac:dyDescent="0.25">
      <c r="B50">
        <v>7005</v>
      </c>
      <c r="C50" t="s">
        <v>72</v>
      </c>
      <c r="D50" t="s">
        <v>74</v>
      </c>
      <c r="E50" t="s">
        <v>25</v>
      </c>
      <c r="F50" t="str">
        <f>VLOOKUP(COA[[#This Row],[Header]],COAH[[Account Header]:[Account Group]],2,FALSE)</f>
        <v>LOSS</v>
      </c>
    </row>
    <row r="51" spans="2:6" x14ac:dyDescent="0.25">
      <c r="B51">
        <v>8001</v>
      </c>
      <c r="C51" t="s">
        <v>73</v>
      </c>
      <c r="D51" t="s">
        <v>74</v>
      </c>
      <c r="E51" t="s">
        <v>25</v>
      </c>
      <c r="F51" t="str">
        <f>VLOOKUP(COA[[#This Row],[Header]],COAH[[Account Header]:[Account Group]],2,FALSE)</f>
        <v>LOSS</v>
      </c>
    </row>
    <row r="52" spans="2:6" x14ac:dyDescent="0.25">
      <c r="B52">
        <v>9999</v>
      </c>
      <c r="C52" t="s">
        <v>166</v>
      </c>
      <c r="D52" t="s">
        <v>74</v>
      </c>
      <c r="E52" t="s">
        <v>165</v>
      </c>
      <c r="F52" s="14" t="str">
        <f>VLOOKUP(COA[[#This Row],[Header]],COAH[[Account Header]:[Account Group]],2,FALSE)</f>
        <v>HELPER</v>
      </c>
    </row>
  </sheetData>
  <dataValidations count="1">
    <dataValidation type="list" allowBlank="1" showInputMessage="1" showErrorMessage="1" sqref="E7:E52" xr:uid="{00000000-0002-0000-0200-000000000000}">
      <formula1>accHeader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1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" sqref="B2"/>
    </sheetView>
  </sheetViews>
  <sheetFormatPr defaultRowHeight="15" x14ac:dyDescent="0.25"/>
  <cols>
    <col min="1" max="1" width="0.7109375" customWidth="1"/>
    <col min="2" max="2" width="17.85546875" customWidth="1"/>
    <col min="3" max="3" width="35.42578125" customWidth="1"/>
    <col min="4" max="4" width="11.28515625" customWidth="1"/>
    <col min="5" max="5" width="8.7109375" bestFit="1" customWidth="1"/>
    <col min="6" max="6" width="41" customWidth="1"/>
  </cols>
  <sheetData>
    <row r="1" spans="2:6" ht="21" x14ac:dyDescent="0.35">
      <c r="B1" s="7" t="str">
        <f>setNamaPerusahaan</f>
        <v>OcingAccConsult</v>
      </c>
      <c r="C1" s="6"/>
      <c r="D1" s="6"/>
      <c r="E1" s="6"/>
      <c r="F1" s="6"/>
    </row>
    <row r="2" spans="2:6" x14ac:dyDescent="0.25">
      <c r="B2" s="8" t="str">
        <f>setAlamatPerusahaan</f>
        <v>Jl, abc1234, Jakarta</v>
      </c>
      <c r="C2" s="6"/>
      <c r="D2" s="6"/>
      <c r="E2" s="6"/>
      <c r="F2" s="6"/>
    </row>
    <row r="3" spans="2:6" ht="15.75" x14ac:dyDescent="0.25">
      <c r="B3" s="9" t="s">
        <v>116</v>
      </c>
      <c r="C3" s="6"/>
      <c r="D3" s="6"/>
      <c r="E3" s="6"/>
      <c r="F3" s="6"/>
    </row>
    <row r="4" spans="2:6" ht="3.75" customHeight="1" x14ac:dyDescent="0.25"/>
    <row r="5" spans="2:6" hidden="1" x14ac:dyDescent="0.25"/>
    <row r="6" spans="2:6" x14ac:dyDescent="0.25">
      <c r="B6" t="s">
        <v>78</v>
      </c>
      <c r="C6" t="s">
        <v>79</v>
      </c>
      <c r="D6" t="s">
        <v>2</v>
      </c>
      <c r="E6" t="s">
        <v>80</v>
      </c>
      <c r="F6" t="s">
        <v>30</v>
      </c>
    </row>
    <row r="7" spans="2:6" x14ac:dyDescent="0.25">
      <c r="B7" t="s">
        <v>83</v>
      </c>
      <c r="C7" t="s">
        <v>84</v>
      </c>
      <c r="D7" t="s">
        <v>82</v>
      </c>
      <c r="E7" t="s">
        <v>85</v>
      </c>
      <c r="F7" t="s">
        <v>86</v>
      </c>
    </row>
    <row r="8" spans="2:6" x14ac:dyDescent="0.25">
      <c r="B8" t="s">
        <v>87</v>
      </c>
      <c r="C8" t="s">
        <v>88</v>
      </c>
      <c r="D8" t="s">
        <v>82</v>
      </c>
      <c r="E8" t="s">
        <v>85</v>
      </c>
    </row>
    <row r="9" spans="2:6" x14ac:dyDescent="0.25">
      <c r="B9" t="s">
        <v>92</v>
      </c>
      <c r="C9" t="s">
        <v>93</v>
      </c>
      <c r="D9" t="s">
        <v>82</v>
      </c>
      <c r="E9" t="s">
        <v>81</v>
      </c>
      <c r="F9" t="s">
        <v>100</v>
      </c>
    </row>
    <row r="10" spans="2:6" x14ac:dyDescent="0.25">
      <c r="B10" t="s">
        <v>94</v>
      </c>
      <c r="C10" t="s">
        <v>95</v>
      </c>
      <c r="D10" t="s">
        <v>82</v>
      </c>
      <c r="E10" t="s">
        <v>81</v>
      </c>
      <c r="F10" t="s">
        <v>99</v>
      </c>
    </row>
    <row r="11" spans="2:6" x14ac:dyDescent="0.25">
      <c r="B11" t="s">
        <v>96</v>
      </c>
      <c r="C11" t="s">
        <v>97</v>
      </c>
      <c r="D11" t="s">
        <v>82</v>
      </c>
      <c r="E11" t="s">
        <v>81</v>
      </c>
      <c r="F11" t="s">
        <v>98</v>
      </c>
    </row>
    <row r="12" spans="2:6" x14ac:dyDescent="0.25">
      <c r="B12" t="s">
        <v>158</v>
      </c>
      <c r="C12" t="s">
        <v>159</v>
      </c>
      <c r="D12" t="s">
        <v>82</v>
      </c>
      <c r="E12" t="s">
        <v>81</v>
      </c>
    </row>
    <row r="13" spans="2:6" x14ac:dyDescent="0.25">
      <c r="B13" t="s">
        <v>90</v>
      </c>
      <c r="C13" t="s">
        <v>89</v>
      </c>
      <c r="D13" t="s">
        <v>91</v>
      </c>
      <c r="E13" t="s">
        <v>85</v>
      </c>
    </row>
    <row r="14" spans="2:6" x14ac:dyDescent="0.25">
      <c r="B14" t="s">
        <v>101</v>
      </c>
      <c r="C14" t="s">
        <v>102</v>
      </c>
      <c r="D14" t="s">
        <v>91</v>
      </c>
      <c r="E14" t="s">
        <v>81</v>
      </c>
      <c r="F14" t="s">
        <v>103</v>
      </c>
    </row>
    <row r="15" spans="2:6" x14ac:dyDescent="0.25">
      <c r="B15" t="s">
        <v>104</v>
      </c>
      <c r="C15" t="s">
        <v>105</v>
      </c>
      <c r="D15" t="s">
        <v>106</v>
      </c>
      <c r="E15" t="s">
        <v>85</v>
      </c>
    </row>
    <row r="16" spans="2:6" x14ac:dyDescent="0.25">
      <c r="B16" t="s">
        <v>107</v>
      </c>
      <c r="C16" t="s">
        <v>108</v>
      </c>
      <c r="D16" t="s">
        <v>106</v>
      </c>
      <c r="E16" t="s">
        <v>81</v>
      </c>
      <c r="F16" t="s">
        <v>109</v>
      </c>
    </row>
    <row r="17" spans="2:6" x14ac:dyDescent="0.25">
      <c r="B17" t="s">
        <v>110</v>
      </c>
      <c r="C17" t="s">
        <v>111</v>
      </c>
      <c r="D17" t="s">
        <v>106</v>
      </c>
      <c r="E17" t="s">
        <v>85</v>
      </c>
      <c r="F17" t="s">
        <v>112</v>
      </c>
    </row>
    <row r="18" spans="2:6" x14ac:dyDescent="0.25">
      <c r="B18" t="s">
        <v>113</v>
      </c>
      <c r="C18" t="s">
        <v>114</v>
      </c>
      <c r="D18" t="s">
        <v>106</v>
      </c>
      <c r="E18" t="s">
        <v>81</v>
      </c>
      <c r="F18" t="s">
        <v>115</v>
      </c>
    </row>
    <row r="19" spans="2:6" x14ac:dyDescent="0.25">
      <c r="B19" t="s">
        <v>155</v>
      </c>
      <c r="C19" t="s">
        <v>156</v>
      </c>
      <c r="D19" t="s">
        <v>106</v>
      </c>
      <c r="E19" t="s">
        <v>85</v>
      </c>
      <c r="F19" t="s">
        <v>157</v>
      </c>
    </row>
  </sheetData>
  <dataValidations count="2">
    <dataValidation type="list" allowBlank="1" showInputMessage="1" showErrorMessage="1" sqref="D7:D19" xr:uid="{00000000-0002-0000-0300-000000000000}">
      <formula1>"OPERATING,INVESTING,FINANCING"</formula1>
    </dataValidation>
    <dataValidation type="list" allowBlank="1" showInputMessage="1" showErrorMessage="1" sqref="E7:E19" xr:uid="{00000000-0002-0000-0300-000001000000}">
      <formula1>"INFLOW,OUTFLOW"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9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8" sqref="C8"/>
    </sheetView>
  </sheetViews>
  <sheetFormatPr defaultRowHeight="15" x14ac:dyDescent="0.25"/>
  <cols>
    <col min="1" max="1" width="0.42578125" customWidth="1"/>
    <col min="2" max="2" width="11.42578125" customWidth="1"/>
    <col min="3" max="3" width="16.140625" customWidth="1"/>
    <col min="4" max="4" width="47.85546875" customWidth="1"/>
    <col min="5" max="5" width="9.85546875" customWidth="1"/>
    <col min="6" max="6" width="15.5703125" customWidth="1"/>
  </cols>
  <sheetData>
    <row r="1" spans="2:6" ht="21" x14ac:dyDescent="0.35">
      <c r="B1" s="7" t="str">
        <f>setNamaPerusahaan</f>
        <v>OcingAccConsult</v>
      </c>
      <c r="C1" s="6"/>
      <c r="D1" s="6"/>
      <c r="E1" s="6"/>
      <c r="F1" s="6"/>
    </row>
    <row r="2" spans="2:6" x14ac:dyDescent="0.25">
      <c r="B2" s="8" t="str">
        <f>setAlamatPerusahaan</f>
        <v>Jl, abc1234, Jakarta</v>
      </c>
      <c r="C2" s="6"/>
      <c r="D2" s="6"/>
      <c r="E2" s="6"/>
      <c r="F2" s="6"/>
    </row>
    <row r="3" spans="2:6" ht="15.75" x14ac:dyDescent="0.25">
      <c r="B3" s="9" t="s">
        <v>125</v>
      </c>
      <c r="C3" s="6"/>
      <c r="D3" s="6"/>
      <c r="E3" s="6"/>
      <c r="F3" s="6"/>
    </row>
    <row r="4" spans="2:6" ht="3.75" customHeight="1" x14ac:dyDescent="0.25"/>
    <row r="5" spans="2:6" hidden="1" x14ac:dyDescent="0.25"/>
    <row r="6" spans="2:6" x14ac:dyDescent="0.25">
      <c r="B6" t="s">
        <v>117</v>
      </c>
      <c r="C6" t="s">
        <v>118</v>
      </c>
      <c r="D6" t="s">
        <v>79</v>
      </c>
      <c r="E6" t="s">
        <v>80</v>
      </c>
      <c r="F6" t="s">
        <v>154</v>
      </c>
    </row>
    <row r="7" spans="2:6" x14ac:dyDescent="0.25">
      <c r="B7" s="1">
        <v>43466</v>
      </c>
      <c r="C7" t="s">
        <v>171</v>
      </c>
      <c r="D7" t="s">
        <v>172</v>
      </c>
      <c r="E7" t="s">
        <v>137</v>
      </c>
      <c r="F7" s="15">
        <f>SUMIF(GJ[Batch],JB[[#This Row],[Batch Number]],GJ[Actual Amount])</f>
        <v>0</v>
      </c>
    </row>
    <row r="8" spans="2:6" x14ac:dyDescent="0.25">
      <c r="B8" s="1">
        <v>43466</v>
      </c>
      <c r="C8" t="s">
        <v>135</v>
      </c>
      <c r="D8" t="s">
        <v>136</v>
      </c>
      <c r="E8" t="s">
        <v>137</v>
      </c>
      <c r="F8" s="15">
        <f>SUMIF(GJ[Batch],JB[[#This Row],[Batch Number]],GJ[Actual Amount])</f>
        <v>0</v>
      </c>
    </row>
    <row r="9" spans="2:6" x14ac:dyDescent="0.25">
      <c r="B9" s="1">
        <v>43496</v>
      </c>
      <c r="C9" t="s">
        <v>167</v>
      </c>
      <c r="D9" t="s">
        <v>168</v>
      </c>
      <c r="E9" t="s">
        <v>169</v>
      </c>
      <c r="F9" s="15">
        <f>SUMIF(GJ[Batch],JB[[#This Row],[Batch Number]],GJ[Actual Amount])</f>
        <v>0</v>
      </c>
    </row>
  </sheetData>
  <conditionalFormatting sqref="B7:F9">
    <cfRule type="expression" dxfId="82" priority="1">
      <formula>$F7&lt;&gt;0</formula>
    </cfRule>
  </conditionalFormatting>
  <dataValidations count="2">
    <dataValidation type="list" allowBlank="1" showInputMessage="1" showErrorMessage="1" sqref="E7:E9" xr:uid="{00000000-0002-0000-0400-000000000000}">
      <formula1>"PC,BANK,SJ,PJ,GEN,ADJ"</formula1>
    </dataValidation>
    <dataValidation type="custom" allowBlank="1" showInputMessage="1" showErrorMessage="1" errorTitle="Error" error="Nomor harus unik" sqref="C7:C9" xr:uid="{00000000-0002-0000-0400-000001000000}">
      <formula1>COUNTIF(C:C,C7)=1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L43"/>
  <sheetViews>
    <sheetView showGridLines="0" workbookViewId="0">
      <pane xSplit="1" ySplit="6" topLeftCell="B27" activePane="bottomRight" state="frozen"/>
      <selection pane="topRight" activeCell="B1" sqref="B1"/>
      <selection pane="bottomLeft" activeCell="A7" sqref="A7"/>
      <selection pane="bottomRight" activeCell="E37" sqref="E37"/>
    </sheetView>
  </sheetViews>
  <sheetFormatPr defaultRowHeight="15" x14ac:dyDescent="0.25"/>
  <cols>
    <col min="1" max="1" width="0.42578125" customWidth="1"/>
    <col min="2" max="2" width="10.7109375" customWidth="1"/>
    <col min="3" max="3" width="10.85546875" customWidth="1"/>
    <col min="4" max="4" width="10.28515625" customWidth="1"/>
    <col min="5" max="5" width="31.7109375" customWidth="1"/>
    <col min="6" max="6" width="10.42578125" customWidth="1"/>
    <col min="7" max="7" width="12.140625" customWidth="1"/>
    <col min="8" max="8" width="8" customWidth="1"/>
    <col min="9" max="9" width="21.140625" customWidth="1"/>
    <col min="10" max="10" width="12.28515625" bestFit="1" customWidth="1"/>
    <col min="11" max="11" width="12.140625" customWidth="1"/>
    <col min="12" max="12" width="22.85546875" customWidth="1"/>
  </cols>
  <sheetData>
    <row r="1" spans="2:12" ht="21" x14ac:dyDescent="0.35">
      <c r="B1" s="7" t="str">
        <f>setNamaPerusahaan</f>
        <v>OcingAccConsult</v>
      </c>
      <c r="C1" s="6"/>
      <c r="D1" s="6"/>
      <c r="E1" s="6"/>
      <c r="F1" s="6"/>
      <c r="G1" s="6"/>
      <c r="H1" s="6"/>
      <c r="I1" s="6"/>
      <c r="J1" s="6"/>
      <c r="K1" s="6"/>
      <c r="L1" s="6"/>
    </row>
    <row r="2" spans="2:12" x14ac:dyDescent="0.25">
      <c r="B2" s="8" t="str">
        <f>setAlamatPerusahaan</f>
        <v>Jl, abc1234, Jakarta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2:12" ht="15.75" x14ac:dyDescent="0.25">
      <c r="B3" s="9" t="s">
        <v>129</v>
      </c>
      <c r="C3" s="6"/>
      <c r="D3" s="6"/>
      <c r="E3" s="6"/>
      <c r="F3" s="6"/>
      <c r="G3" s="6"/>
      <c r="H3" s="6"/>
      <c r="I3" s="6"/>
      <c r="J3" s="6"/>
      <c r="K3" s="6"/>
      <c r="L3" s="6"/>
    </row>
    <row r="4" spans="2:12" ht="4.5" customHeight="1" x14ac:dyDescent="0.25"/>
    <row r="5" spans="2:12" hidden="1" x14ac:dyDescent="0.25"/>
    <row r="6" spans="2:12" s="3" customFormat="1" ht="30" x14ac:dyDescent="0.25">
      <c r="B6" s="3" t="s">
        <v>117</v>
      </c>
      <c r="C6" s="3" t="s">
        <v>119</v>
      </c>
      <c r="D6" s="3" t="s">
        <v>120</v>
      </c>
      <c r="E6" s="3" t="s">
        <v>79</v>
      </c>
      <c r="F6" s="3" t="s">
        <v>80</v>
      </c>
      <c r="G6" s="3" t="s">
        <v>121</v>
      </c>
      <c r="H6" s="4" t="s">
        <v>128</v>
      </c>
      <c r="I6" s="3" t="s">
        <v>122</v>
      </c>
      <c r="J6" s="3" t="s">
        <v>123</v>
      </c>
      <c r="K6" s="3" t="s">
        <v>124</v>
      </c>
      <c r="L6" s="3" t="s">
        <v>30</v>
      </c>
    </row>
    <row r="7" spans="2:12" s="3" customFormat="1" x14ac:dyDescent="0.25">
      <c r="B7" s="21">
        <v>43466</v>
      </c>
      <c r="C7" s="22" t="s">
        <v>171</v>
      </c>
      <c r="D7" s="22" t="s">
        <v>138</v>
      </c>
      <c r="E7" s="28" t="s">
        <v>173</v>
      </c>
      <c r="F7" s="22" t="s">
        <v>140</v>
      </c>
      <c r="G7" s="23">
        <v>0</v>
      </c>
      <c r="H7" s="22">
        <v>1002</v>
      </c>
      <c r="I7" s="22" t="str">
        <f>IFERROR(VLOOKUP(GJ[[#This Row],[Acc Number]],COA[[AccNumber]:[Account Name]],2,FALSE),"")</f>
        <v>Kas</v>
      </c>
      <c r="J7" s="24"/>
      <c r="K7" s="25">
        <f>IF(GJ[[#This Row],[Type]]="CREDIT",GJ[[#This Row],[Amount]]*-1,GJ[[#This Row],[Amount]])</f>
        <v>0</v>
      </c>
      <c r="L7" s="22"/>
    </row>
    <row r="8" spans="2:12" s="3" customFormat="1" x14ac:dyDescent="0.25">
      <c r="B8" s="21">
        <v>43466</v>
      </c>
      <c r="C8" s="22" t="s">
        <v>171</v>
      </c>
      <c r="D8" s="22" t="s">
        <v>138</v>
      </c>
      <c r="E8" s="28" t="s">
        <v>173</v>
      </c>
      <c r="F8" s="22" t="s">
        <v>126</v>
      </c>
      <c r="G8" s="23">
        <v>0</v>
      </c>
      <c r="H8" s="22">
        <v>3001</v>
      </c>
      <c r="I8" s="22" t="str">
        <f>IFERROR(VLOOKUP(GJ[[#This Row],[Acc Number]],COA[[AccNumber]:[Account Name]],2,FALSE),"")</f>
        <v>Modal</v>
      </c>
      <c r="J8" s="24"/>
      <c r="K8" s="25">
        <f>IF(GJ[[#This Row],[Type]]="CREDIT",GJ[[#This Row],[Amount]]*-1,GJ[[#This Row],[Amount]])</f>
        <v>0</v>
      </c>
      <c r="L8" s="22"/>
    </row>
    <row r="9" spans="2:12" s="3" customFormat="1" x14ac:dyDescent="0.25">
      <c r="B9" s="21">
        <v>43467</v>
      </c>
      <c r="C9" s="22" t="s">
        <v>135</v>
      </c>
      <c r="D9" s="22" t="s">
        <v>138</v>
      </c>
      <c r="E9" s="28" t="s">
        <v>139</v>
      </c>
      <c r="F9" s="22" t="s">
        <v>140</v>
      </c>
      <c r="G9" s="23">
        <v>24000000</v>
      </c>
      <c r="H9" s="22">
        <v>1100</v>
      </c>
      <c r="I9" s="22" t="str">
        <f>IFERROR(VLOOKUP(GJ[[#This Row],[Acc Number]],COA[[AccNumber]:[Account Name]],2,FALSE),"")</f>
        <v>Piutang usaha</v>
      </c>
      <c r="J9" s="24"/>
      <c r="K9" s="25">
        <f>IF(GJ[[#This Row],[Type]]="CREDIT",GJ[[#This Row],[Amount]]*-1,GJ[[#This Row],[Amount]])</f>
        <v>24000000</v>
      </c>
      <c r="L9" s="22"/>
    </row>
    <row r="10" spans="2:12" s="3" customFormat="1" x14ac:dyDescent="0.25">
      <c r="B10" s="21">
        <v>43467</v>
      </c>
      <c r="C10" s="22" t="s">
        <v>135</v>
      </c>
      <c r="D10" s="22" t="s">
        <v>138</v>
      </c>
      <c r="E10" s="28" t="s">
        <v>139</v>
      </c>
      <c r="F10" s="22" t="s">
        <v>126</v>
      </c>
      <c r="G10" s="23">
        <v>24000000</v>
      </c>
      <c r="H10" s="22">
        <v>4001</v>
      </c>
      <c r="I10" s="22" t="str">
        <f>IFERROR(VLOOKUP(GJ[[#This Row],[Acc Number]],COA[[AccNumber]:[Account Name]],2,FALSE),"")</f>
        <v>Pendapatan Jasa</v>
      </c>
      <c r="J10" s="24"/>
      <c r="K10" s="25">
        <f>IF(GJ[[#This Row],[Type]]="CREDIT",GJ[[#This Row],[Amount]]*-1,GJ[[#This Row],[Amount]])</f>
        <v>-24000000</v>
      </c>
      <c r="L10" s="22"/>
    </row>
    <row r="11" spans="2:12" x14ac:dyDescent="0.25">
      <c r="B11" s="21">
        <v>43470</v>
      </c>
      <c r="C11" s="22" t="s">
        <v>135</v>
      </c>
      <c r="D11" s="22" t="s">
        <v>138</v>
      </c>
      <c r="E11" s="28" t="s">
        <v>141</v>
      </c>
      <c r="F11" s="22" t="s">
        <v>140</v>
      </c>
      <c r="G11" s="23">
        <v>19000000</v>
      </c>
      <c r="H11" s="22">
        <v>1010</v>
      </c>
      <c r="I11" s="22" t="str">
        <f>IFERROR(VLOOKUP(GJ[[#This Row],[Acc Number]],COA[[AccNumber]:[Account Name]],2,FALSE),"")</f>
        <v>Bank</v>
      </c>
      <c r="J11" s="24" t="s">
        <v>83</v>
      </c>
      <c r="K11" s="25">
        <f>IF(GJ[[#This Row],[Type]]="CREDIT",GJ[[#This Row],[Amount]]*-1,GJ[[#This Row],[Amount]])</f>
        <v>19000000</v>
      </c>
      <c r="L11" s="22"/>
    </row>
    <row r="12" spans="2:12" x14ac:dyDescent="0.25">
      <c r="B12" s="21">
        <v>43470</v>
      </c>
      <c r="C12" s="22" t="s">
        <v>135</v>
      </c>
      <c r="D12" s="22" t="s">
        <v>138</v>
      </c>
      <c r="E12" s="28" t="s">
        <v>141</v>
      </c>
      <c r="F12" s="22" t="s">
        <v>126</v>
      </c>
      <c r="G12" s="23">
        <v>19000000</v>
      </c>
      <c r="H12" s="22">
        <v>4001</v>
      </c>
      <c r="I12" s="26" t="str">
        <f>IFERROR(VLOOKUP(GJ[[#This Row],[Acc Number]],COA[[AccNumber]:[Account Name]],2,FALSE),"")</f>
        <v>Pendapatan Jasa</v>
      </c>
      <c r="J12" s="27" t="s">
        <v>83</v>
      </c>
      <c r="K12" s="25">
        <f>IF(GJ[[#This Row],[Type]]="CREDIT",GJ[[#This Row],[Amount]]*-1,GJ[[#This Row],[Amount]])</f>
        <v>-19000000</v>
      </c>
      <c r="L12" s="22"/>
    </row>
    <row r="13" spans="2:12" x14ac:dyDescent="0.25">
      <c r="B13" s="21">
        <v>43473</v>
      </c>
      <c r="C13" s="22" t="s">
        <v>135</v>
      </c>
      <c r="D13" s="22" t="s">
        <v>138</v>
      </c>
      <c r="E13" s="28" t="s">
        <v>142</v>
      </c>
      <c r="F13" s="22" t="s">
        <v>140</v>
      </c>
      <c r="G13" s="23">
        <v>3000000</v>
      </c>
      <c r="H13" s="22">
        <v>1002</v>
      </c>
      <c r="I13" s="26" t="str">
        <f>IFERROR(VLOOKUP(GJ[[#This Row],[Acc Number]],COA[[AccNumber]:[Account Name]],2,FALSE),"")</f>
        <v>Kas</v>
      </c>
      <c r="J13" s="24" t="s">
        <v>155</v>
      </c>
      <c r="K13" s="25">
        <f>IF(GJ[[#This Row],[Type]]="CREDIT",GJ[[#This Row],[Amount]]*-1,GJ[[#This Row],[Amount]])</f>
        <v>3000000</v>
      </c>
      <c r="L13" s="22"/>
    </row>
    <row r="14" spans="2:12" x14ac:dyDescent="0.25">
      <c r="B14" s="21">
        <v>43473</v>
      </c>
      <c r="C14" s="22" t="s">
        <v>135</v>
      </c>
      <c r="D14" s="22" t="s">
        <v>138</v>
      </c>
      <c r="E14" s="28" t="s">
        <v>142</v>
      </c>
      <c r="F14" s="22" t="s">
        <v>126</v>
      </c>
      <c r="G14" s="23">
        <v>3000000</v>
      </c>
      <c r="H14" s="22">
        <v>1010</v>
      </c>
      <c r="I14" s="26" t="str">
        <f>IFERROR(VLOOKUP(GJ[[#This Row],[Acc Number]],COA[[AccNumber]:[Account Name]],2,FALSE),"")</f>
        <v>Bank</v>
      </c>
      <c r="J14" s="24" t="s">
        <v>155</v>
      </c>
      <c r="K14" s="25">
        <f>IF(GJ[[#This Row],[Type]]="CREDIT",GJ[[#This Row],[Amount]]*-1,GJ[[#This Row],[Amount]])</f>
        <v>-3000000</v>
      </c>
      <c r="L14" s="22"/>
    </row>
    <row r="15" spans="2:12" x14ac:dyDescent="0.25">
      <c r="B15" s="21">
        <v>43474</v>
      </c>
      <c r="C15" s="22" t="s">
        <v>135</v>
      </c>
      <c r="D15" s="22" t="s">
        <v>138</v>
      </c>
      <c r="E15" s="28" t="s">
        <v>143</v>
      </c>
      <c r="F15" s="22" t="s">
        <v>140</v>
      </c>
      <c r="G15" s="23">
        <v>1120000</v>
      </c>
      <c r="H15" s="22">
        <v>5025</v>
      </c>
      <c r="I15" s="26" t="str">
        <f>IFERROR(VLOOKUP(GJ[[#This Row],[Acc Number]],COA[[AccNumber]:[Account Name]],2,FALSE),"")</f>
        <v>Listrik, air, telepon</v>
      </c>
      <c r="J15" s="27" t="s">
        <v>158</v>
      </c>
      <c r="K15" s="25">
        <f>IF(GJ[[#This Row],[Type]]="CREDIT",GJ[[#This Row],[Amount]]*-1,GJ[[#This Row],[Amount]])</f>
        <v>1120000</v>
      </c>
      <c r="L15" s="22"/>
    </row>
    <row r="16" spans="2:12" x14ac:dyDescent="0.25">
      <c r="B16" s="21">
        <v>43474</v>
      </c>
      <c r="C16" s="22" t="s">
        <v>135</v>
      </c>
      <c r="D16" s="22" t="s">
        <v>138</v>
      </c>
      <c r="E16" s="28" t="s">
        <v>143</v>
      </c>
      <c r="F16" s="22" t="s">
        <v>126</v>
      </c>
      <c r="G16" s="23">
        <v>1120000</v>
      </c>
      <c r="H16" s="22">
        <v>1002</v>
      </c>
      <c r="I16" s="26" t="str">
        <f>IFERROR(VLOOKUP(GJ[[#This Row],[Acc Number]],COA[[AccNumber]:[Account Name]],2,FALSE),"")</f>
        <v>Kas</v>
      </c>
      <c r="J16" s="27" t="s">
        <v>158</v>
      </c>
      <c r="K16" s="25">
        <f>IF(GJ[[#This Row],[Type]]="CREDIT",GJ[[#This Row],[Amount]]*-1,GJ[[#This Row],[Amount]])</f>
        <v>-1120000</v>
      </c>
      <c r="L16" s="22"/>
    </row>
    <row r="17" spans="2:12" x14ac:dyDescent="0.25">
      <c r="B17" s="21">
        <v>43475</v>
      </c>
      <c r="C17" s="22" t="s">
        <v>135</v>
      </c>
      <c r="D17" s="22" t="s">
        <v>138</v>
      </c>
      <c r="E17" s="28" t="s">
        <v>144</v>
      </c>
      <c r="F17" s="22" t="s">
        <v>140</v>
      </c>
      <c r="G17" s="23">
        <v>300000</v>
      </c>
      <c r="H17" s="22">
        <v>5025</v>
      </c>
      <c r="I17" s="26" t="str">
        <f>IFERROR(VLOOKUP(GJ[[#This Row],[Acc Number]],COA[[AccNumber]:[Account Name]],2,FALSE),"")</f>
        <v>Listrik, air, telepon</v>
      </c>
      <c r="J17" s="24" t="s">
        <v>158</v>
      </c>
      <c r="K17" s="25">
        <f>IF(GJ[[#This Row],[Type]]="CREDIT",GJ[[#This Row],[Amount]]*-1,GJ[[#This Row],[Amount]])</f>
        <v>300000</v>
      </c>
      <c r="L17" s="22"/>
    </row>
    <row r="18" spans="2:12" x14ac:dyDescent="0.25">
      <c r="B18" s="21">
        <v>43475</v>
      </c>
      <c r="C18" s="22" t="s">
        <v>135</v>
      </c>
      <c r="D18" s="22" t="s">
        <v>138</v>
      </c>
      <c r="E18" s="28" t="s">
        <v>144</v>
      </c>
      <c r="F18" s="22" t="s">
        <v>126</v>
      </c>
      <c r="G18" s="23">
        <v>300000</v>
      </c>
      <c r="H18" s="22">
        <v>1002</v>
      </c>
      <c r="I18" s="26" t="str">
        <f>IFERROR(VLOOKUP(GJ[[#This Row],[Acc Number]],COA[[AccNumber]:[Account Name]],2,FALSE),"")</f>
        <v>Kas</v>
      </c>
      <c r="J18" s="24" t="s">
        <v>158</v>
      </c>
      <c r="K18" s="25">
        <f>IF(GJ[[#This Row],[Type]]="CREDIT",GJ[[#This Row],[Amount]]*-1,GJ[[#This Row],[Amount]])</f>
        <v>-300000</v>
      </c>
      <c r="L18" s="22"/>
    </row>
    <row r="19" spans="2:12" x14ac:dyDescent="0.25">
      <c r="B19" s="21">
        <v>43476</v>
      </c>
      <c r="C19" s="22" t="s">
        <v>135</v>
      </c>
      <c r="D19" s="22" t="s">
        <v>138</v>
      </c>
      <c r="E19" s="28" t="s">
        <v>145</v>
      </c>
      <c r="F19" s="22" t="s">
        <v>140</v>
      </c>
      <c r="G19" s="23">
        <v>250000</v>
      </c>
      <c r="H19" s="22">
        <v>5030</v>
      </c>
      <c r="I19" s="26" t="str">
        <f>IFERROR(VLOOKUP(GJ[[#This Row],[Acc Number]],COA[[AccNumber]:[Account Name]],2,FALSE),"")</f>
        <v>Jamuan dan Sumbangan</v>
      </c>
      <c r="J19" s="24" t="s">
        <v>158</v>
      </c>
      <c r="K19" s="25">
        <f>IF(GJ[[#This Row],[Type]]="CREDIT",GJ[[#This Row],[Amount]]*-1,GJ[[#This Row],[Amount]])</f>
        <v>250000</v>
      </c>
      <c r="L19" s="22"/>
    </row>
    <row r="20" spans="2:12" x14ac:dyDescent="0.25">
      <c r="B20" s="21">
        <v>43476</v>
      </c>
      <c r="C20" s="22" t="s">
        <v>135</v>
      </c>
      <c r="D20" s="22" t="s">
        <v>138</v>
      </c>
      <c r="E20" s="28" t="s">
        <v>145</v>
      </c>
      <c r="F20" s="22" t="s">
        <v>126</v>
      </c>
      <c r="G20" s="23">
        <v>250000</v>
      </c>
      <c r="H20" s="22">
        <v>1002</v>
      </c>
      <c r="I20" s="26" t="str">
        <f>IFERROR(VLOOKUP(GJ[[#This Row],[Acc Number]],COA[[AccNumber]:[Account Name]],2,FALSE),"")</f>
        <v>Kas</v>
      </c>
      <c r="J20" s="24" t="s">
        <v>158</v>
      </c>
      <c r="K20" s="25">
        <f>IF(GJ[[#This Row],[Type]]="CREDIT",GJ[[#This Row],[Amount]]*-1,GJ[[#This Row],[Amount]])</f>
        <v>-250000</v>
      </c>
      <c r="L20" s="22"/>
    </row>
    <row r="21" spans="2:12" x14ac:dyDescent="0.25">
      <c r="B21" s="21">
        <v>43479</v>
      </c>
      <c r="C21" s="22" t="s">
        <v>135</v>
      </c>
      <c r="D21" s="22" t="s">
        <v>138</v>
      </c>
      <c r="E21" s="28" t="s">
        <v>139</v>
      </c>
      <c r="F21" s="22" t="s">
        <v>140</v>
      </c>
      <c r="G21" s="23">
        <v>8500000</v>
      </c>
      <c r="H21" s="22">
        <v>1100</v>
      </c>
      <c r="I21" s="26" t="str">
        <f>IFERROR(VLOOKUP(GJ[[#This Row],[Acc Number]],COA[[AccNumber]:[Account Name]],2,FALSE),"")</f>
        <v>Piutang usaha</v>
      </c>
      <c r="J21" s="27"/>
      <c r="K21" s="25">
        <f>IF(GJ[[#This Row],[Type]]="CREDIT",GJ[[#This Row],[Amount]]*-1,GJ[[#This Row],[Amount]])</f>
        <v>8500000</v>
      </c>
      <c r="L21" s="22"/>
    </row>
    <row r="22" spans="2:12" x14ac:dyDescent="0.25">
      <c r="B22" s="21">
        <v>43479</v>
      </c>
      <c r="C22" s="22" t="s">
        <v>135</v>
      </c>
      <c r="D22" s="22" t="s">
        <v>138</v>
      </c>
      <c r="E22" s="28" t="s">
        <v>139</v>
      </c>
      <c r="F22" s="22" t="s">
        <v>126</v>
      </c>
      <c r="G22" s="23">
        <v>8500000</v>
      </c>
      <c r="H22" s="22">
        <v>4001</v>
      </c>
      <c r="I22" s="26" t="str">
        <f>IFERROR(VLOOKUP(GJ[[#This Row],[Acc Number]],COA[[AccNumber]:[Account Name]],2,FALSE),"")</f>
        <v>Pendapatan Jasa</v>
      </c>
      <c r="J22" s="27"/>
      <c r="K22" s="25">
        <f>IF(GJ[[#This Row],[Type]]="CREDIT",GJ[[#This Row],[Amount]]*-1,GJ[[#This Row],[Amount]])</f>
        <v>-8500000</v>
      </c>
      <c r="L22" s="22"/>
    </row>
    <row r="23" spans="2:12" x14ac:dyDescent="0.25">
      <c r="B23" s="21">
        <v>43482</v>
      </c>
      <c r="C23" s="22" t="s">
        <v>135</v>
      </c>
      <c r="D23" s="22" t="s">
        <v>138</v>
      </c>
      <c r="E23" s="28" t="s">
        <v>146</v>
      </c>
      <c r="F23" s="22" t="s">
        <v>140</v>
      </c>
      <c r="G23" s="23">
        <v>50000000</v>
      </c>
      <c r="H23" s="22">
        <v>1010</v>
      </c>
      <c r="I23" s="26" t="str">
        <f>IFERROR(VLOOKUP(GJ[[#This Row],[Acc Number]],COA[[AccNumber]:[Account Name]],2,FALSE),"")</f>
        <v>Bank</v>
      </c>
      <c r="J23" s="27" t="s">
        <v>107</v>
      </c>
      <c r="K23" s="25">
        <f>IF(GJ[[#This Row],[Type]]="CREDIT",GJ[[#This Row],[Amount]]*-1,GJ[[#This Row],[Amount]])</f>
        <v>50000000</v>
      </c>
      <c r="L23" s="22"/>
    </row>
    <row r="24" spans="2:12" x14ac:dyDescent="0.25">
      <c r="B24" s="21">
        <v>43482</v>
      </c>
      <c r="C24" s="22" t="s">
        <v>135</v>
      </c>
      <c r="D24" s="22" t="s">
        <v>138</v>
      </c>
      <c r="E24" s="28" t="s">
        <v>146</v>
      </c>
      <c r="F24" s="22" t="s">
        <v>126</v>
      </c>
      <c r="G24" s="23">
        <v>50000000</v>
      </c>
      <c r="H24" s="22">
        <v>3002</v>
      </c>
      <c r="I24" s="26" t="str">
        <f>IFERROR(VLOOKUP(GJ[[#This Row],[Acc Number]],COA[[AccNumber]:[Account Name]],2,FALSE),"")</f>
        <v>Tambahan Modal disetor</v>
      </c>
      <c r="J24" s="27" t="s">
        <v>107</v>
      </c>
      <c r="K24" s="25">
        <f>IF(GJ[[#This Row],[Type]]="CREDIT",GJ[[#This Row],[Amount]]*-1,GJ[[#This Row],[Amount]])</f>
        <v>-50000000</v>
      </c>
      <c r="L24" s="22"/>
    </row>
    <row r="25" spans="2:12" x14ac:dyDescent="0.25">
      <c r="B25" s="21">
        <v>43485</v>
      </c>
      <c r="C25" s="22" t="s">
        <v>135</v>
      </c>
      <c r="D25" s="22" t="s">
        <v>138</v>
      </c>
      <c r="E25" s="28" t="s">
        <v>147</v>
      </c>
      <c r="F25" s="22" t="s">
        <v>140</v>
      </c>
      <c r="G25" s="23">
        <v>80000000</v>
      </c>
      <c r="H25" s="22">
        <v>1010</v>
      </c>
      <c r="I25" s="26" t="str">
        <f>IFERROR(VLOOKUP(GJ[[#This Row],[Acc Number]],COA[[AccNumber]:[Account Name]],2,FALSE),"")</f>
        <v>Bank</v>
      </c>
      <c r="J25" s="27" t="s">
        <v>110</v>
      </c>
      <c r="K25" s="25">
        <f>IF(GJ[[#This Row],[Type]]="CREDIT",GJ[[#This Row],[Amount]]*-1,GJ[[#This Row],[Amount]])</f>
        <v>80000000</v>
      </c>
      <c r="L25" s="22"/>
    </row>
    <row r="26" spans="2:12" x14ac:dyDescent="0.25">
      <c r="B26" s="21">
        <v>43485</v>
      </c>
      <c r="C26" s="22" t="s">
        <v>135</v>
      </c>
      <c r="D26" s="22" t="s">
        <v>138</v>
      </c>
      <c r="E26" s="28" t="s">
        <v>147</v>
      </c>
      <c r="F26" s="22" t="s">
        <v>126</v>
      </c>
      <c r="G26" s="23">
        <v>80000000</v>
      </c>
      <c r="H26" s="22">
        <v>2201</v>
      </c>
      <c r="I26" s="26" t="str">
        <f>IFERROR(VLOOKUP(GJ[[#This Row],[Acc Number]],COA[[AccNumber]:[Account Name]],2,FALSE),"")</f>
        <v>Utang Bank</v>
      </c>
      <c r="J26" s="27" t="s">
        <v>110</v>
      </c>
      <c r="K26" s="25">
        <f>IF(GJ[[#This Row],[Type]]="CREDIT",GJ[[#This Row],[Amount]]*-1,GJ[[#This Row],[Amount]])</f>
        <v>-80000000</v>
      </c>
      <c r="L26" s="22"/>
    </row>
    <row r="27" spans="2:12" x14ac:dyDescent="0.25">
      <c r="B27" s="21">
        <v>43487</v>
      </c>
      <c r="C27" s="22" t="s">
        <v>135</v>
      </c>
      <c r="D27" s="22" t="s">
        <v>138</v>
      </c>
      <c r="E27" s="28" t="s">
        <v>148</v>
      </c>
      <c r="F27" s="22" t="s">
        <v>140</v>
      </c>
      <c r="G27" s="23">
        <v>24000000</v>
      </c>
      <c r="H27" s="22">
        <v>1010</v>
      </c>
      <c r="I27" s="26" t="str">
        <f>IFERROR(VLOOKUP(GJ[[#This Row],[Acc Number]],COA[[AccNumber]:[Account Name]],2,FALSE),"")</f>
        <v>Bank</v>
      </c>
      <c r="J27" s="24" t="s">
        <v>83</v>
      </c>
      <c r="K27" s="25">
        <f>IF(GJ[[#This Row],[Type]]="CREDIT",GJ[[#This Row],[Amount]]*-1,GJ[[#This Row],[Amount]])</f>
        <v>24000000</v>
      </c>
      <c r="L27" s="22"/>
    </row>
    <row r="28" spans="2:12" x14ac:dyDescent="0.25">
      <c r="B28" s="21">
        <v>43487</v>
      </c>
      <c r="C28" s="22" t="s">
        <v>135</v>
      </c>
      <c r="D28" s="22" t="s">
        <v>138</v>
      </c>
      <c r="E28" s="28" t="s">
        <v>148</v>
      </c>
      <c r="F28" s="22" t="s">
        <v>126</v>
      </c>
      <c r="G28" s="23">
        <v>24000000</v>
      </c>
      <c r="H28" s="22">
        <v>1100</v>
      </c>
      <c r="I28" s="26" t="str">
        <f>IFERROR(VLOOKUP(GJ[[#This Row],[Acc Number]],COA[[AccNumber]:[Account Name]],2,FALSE),"")</f>
        <v>Piutang usaha</v>
      </c>
      <c r="J28" s="24" t="s">
        <v>83</v>
      </c>
      <c r="K28" s="25">
        <f>IF(GJ[[#This Row],[Type]]="CREDIT",GJ[[#This Row],[Amount]]*-1,GJ[[#This Row],[Amount]])</f>
        <v>-24000000</v>
      </c>
      <c r="L28" s="22"/>
    </row>
    <row r="29" spans="2:12" x14ac:dyDescent="0.25">
      <c r="B29" s="21">
        <v>43490</v>
      </c>
      <c r="C29" s="22" t="s">
        <v>135</v>
      </c>
      <c r="D29" s="22" t="s">
        <v>138</v>
      </c>
      <c r="E29" s="28" t="s">
        <v>149</v>
      </c>
      <c r="F29" s="22" t="s">
        <v>140</v>
      </c>
      <c r="G29" s="23">
        <v>167000000</v>
      </c>
      <c r="H29" s="22">
        <v>1340</v>
      </c>
      <c r="I29" s="26" t="str">
        <f>IFERROR(VLOOKUP(GJ[[#This Row],[Acc Number]],COA[[AccNumber]:[Account Name]],2,FALSE),"")</f>
        <v>Kendaraan</v>
      </c>
      <c r="J29" s="27" t="s">
        <v>101</v>
      </c>
      <c r="K29" s="25">
        <f>IF(GJ[[#This Row],[Type]]="CREDIT",GJ[[#This Row],[Amount]]*-1,GJ[[#This Row],[Amount]])</f>
        <v>167000000</v>
      </c>
      <c r="L29" s="22"/>
    </row>
    <row r="30" spans="2:12" x14ac:dyDescent="0.25">
      <c r="B30" s="21">
        <v>43490</v>
      </c>
      <c r="C30" s="22" t="s">
        <v>135</v>
      </c>
      <c r="D30" s="22" t="s">
        <v>138</v>
      </c>
      <c r="E30" s="28" t="s">
        <v>149</v>
      </c>
      <c r="F30" s="22" t="s">
        <v>126</v>
      </c>
      <c r="G30" s="23">
        <v>167000000</v>
      </c>
      <c r="H30" s="22">
        <v>1010</v>
      </c>
      <c r="I30" s="26" t="str">
        <f>IFERROR(VLOOKUP(GJ[[#This Row],[Acc Number]],COA[[AccNumber]:[Account Name]],2,FALSE),"")</f>
        <v>Bank</v>
      </c>
      <c r="J30" s="27" t="s">
        <v>101</v>
      </c>
      <c r="K30" s="25">
        <f>IF(GJ[[#This Row],[Type]]="CREDIT",GJ[[#This Row],[Amount]]*-1,GJ[[#This Row],[Amount]])</f>
        <v>-167000000</v>
      </c>
      <c r="L30" s="22"/>
    </row>
    <row r="31" spans="2:12" x14ac:dyDescent="0.25">
      <c r="B31" s="21">
        <v>43491</v>
      </c>
      <c r="C31" s="22" t="s">
        <v>135</v>
      </c>
      <c r="D31" s="22" t="s">
        <v>138</v>
      </c>
      <c r="E31" s="28" t="s">
        <v>152</v>
      </c>
      <c r="F31" s="22" t="s">
        <v>140</v>
      </c>
      <c r="G31" s="23">
        <v>2500000</v>
      </c>
      <c r="H31" s="22">
        <v>5011</v>
      </c>
      <c r="I31" s="26" t="str">
        <f>IFERROR(VLOOKUP(GJ[[#This Row],[Acc Number]],COA[[AccNumber]:[Account Name]],2,FALSE),"")</f>
        <v>Beban iklan</v>
      </c>
      <c r="J31" s="24" t="s">
        <v>158</v>
      </c>
      <c r="K31" s="25">
        <f>IF(GJ[[#This Row],[Type]]="CREDIT",GJ[[#This Row],[Amount]]*-1,GJ[[#This Row],[Amount]])</f>
        <v>2500000</v>
      </c>
      <c r="L31" s="22"/>
    </row>
    <row r="32" spans="2:12" x14ac:dyDescent="0.25">
      <c r="B32" s="21">
        <v>43491</v>
      </c>
      <c r="C32" s="22" t="s">
        <v>135</v>
      </c>
      <c r="D32" s="22" t="s">
        <v>138</v>
      </c>
      <c r="E32" s="28" t="s">
        <v>152</v>
      </c>
      <c r="F32" s="22" t="s">
        <v>126</v>
      </c>
      <c r="G32" s="23">
        <v>2500000</v>
      </c>
      <c r="H32" s="22">
        <v>1010</v>
      </c>
      <c r="I32" s="26" t="str">
        <f>IFERROR(VLOOKUP(GJ[[#This Row],[Acc Number]],COA[[AccNumber]:[Account Name]],2,FALSE),"")</f>
        <v>Bank</v>
      </c>
      <c r="J32" s="24" t="s">
        <v>158</v>
      </c>
      <c r="K32" s="25">
        <f>IF(GJ[[#This Row],[Type]]="CREDIT",GJ[[#This Row],[Amount]]*-1,GJ[[#This Row],[Amount]])</f>
        <v>-2500000</v>
      </c>
      <c r="L32" s="22"/>
    </row>
    <row r="33" spans="2:12" x14ac:dyDescent="0.25">
      <c r="B33" s="21">
        <v>43493</v>
      </c>
      <c r="C33" s="22" t="s">
        <v>135</v>
      </c>
      <c r="D33" s="22" t="s">
        <v>138</v>
      </c>
      <c r="E33" s="28" t="s">
        <v>153</v>
      </c>
      <c r="F33" s="22" t="s">
        <v>140</v>
      </c>
      <c r="G33" s="23">
        <v>12000000</v>
      </c>
      <c r="H33" s="22">
        <v>5021</v>
      </c>
      <c r="I33" s="26" t="str">
        <f>IFERROR(VLOOKUP(GJ[[#This Row],[Acc Number]],COA[[AccNumber]:[Account Name]],2,FALSE),"")</f>
        <v>Gaji pegawai</v>
      </c>
      <c r="J33" s="27" t="s">
        <v>94</v>
      </c>
      <c r="K33" s="25">
        <f>IF(GJ[[#This Row],[Type]]="CREDIT",GJ[[#This Row],[Amount]]*-1,GJ[[#This Row],[Amount]])</f>
        <v>12000000</v>
      </c>
      <c r="L33" s="22"/>
    </row>
    <row r="34" spans="2:12" x14ac:dyDescent="0.25">
      <c r="B34" s="21">
        <v>43493</v>
      </c>
      <c r="C34" s="22" t="s">
        <v>135</v>
      </c>
      <c r="D34" s="22" t="s">
        <v>138</v>
      </c>
      <c r="E34" s="28" t="s">
        <v>153</v>
      </c>
      <c r="F34" s="22" t="s">
        <v>126</v>
      </c>
      <c r="G34" s="23">
        <v>12000000</v>
      </c>
      <c r="H34" s="22">
        <v>1010</v>
      </c>
      <c r="I34" s="26" t="str">
        <f>IFERROR(VLOOKUP(GJ[[#This Row],[Acc Number]],COA[[AccNumber]:[Account Name]],2,FALSE),"")</f>
        <v>Bank</v>
      </c>
      <c r="J34" s="27" t="s">
        <v>94</v>
      </c>
      <c r="K34" s="25">
        <f>IF(GJ[[#This Row],[Type]]="CREDIT",GJ[[#This Row],[Amount]]*-1,GJ[[#This Row],[Amount]])</f>
        <v>-12000000</v>
      </c>
      <c r="L34" s="22"/>
    </row>
    <row r="35" spans="2:12" x14ac:dyDescent="0.25">
      <c r="B35" s="21">
        <v>43496</v>
      </c>
      <c r="C35" s="22" t="s">
        <v>167</v>
      </c>
      <c r="D35" s="22" t="s">
        <v>138</v>
      </c>
      <c r="E35" s="28" t="s">
        <v>170</v>
      </c>
      <c r="F35" s="22" t="s">
        <v>140</v>
      </c>
      <c r="G35" s="23">
        <v>35330000</v>
      </c>
      <c r="H35" s="22">
        <v>9999</v>
      </c>
      <c r="I35" s="26" t="str">
        <f>IFERROR(VLOOKUP(GJ[[#This Row],[Acc Number]],COA[[AccNumber]:[Account Name]],2,FALSE),"")</f>
        <v>Helper Account</v>
      </c>
      <c r="J35" s="27"/>
      <c r="K35" s="25">
        <f>IF(GJ[[#This Row],[Type]]="CREDIT",GJ[[#This Row],[Amount]]*-1,GJ[[#This Row],[Amount]])</f>
        <v>35330000</v>
      </c>
      <c r="L35" s="22"/>
    </row>
    <row r="36" spans="2:12" x14ac:dyDescent="0.25">
      <c r="B36" s="21">
        <v>43496</v>
      </c>
      <c r="C36" s="22" t="s">
        <v>167</v>
      </c>
      <c r="D36" s="22" t="s">
        <v>138</v>
      </c>
      <c r="E36" s="28" t="s">
        <v>170</v>
      </c>
      <c r="F36" s="22" t="s">
        <v>126</v>
      </c>
      <c r="G36" s="23">
        <v>35330000</v>
      </c>
      <c r="H36" s="22">
        <v>3010</v>
      </c>
      <c r="I36" s="26" t="str">
        <f>IFERROR(VLOOKUP(GJ[[#This Row],[Acc Number]],COA[[AccNumber]:[Account Name]],2,FALSE),"")</f>
        <v>Akumulasi Laba</v>
      </c>
      <c r="J36" s="27"/>
      <c r="K36" s="25">
        <f>IF(GJ[[#This Row],[Type]]="CREDIT",GJ[[#This Row],[Amount]]*-1,GJ[[#This Row],[Amount]])</f>
        <v>-35330000</v>
      </c>
      <c r="L36" s="22"/>
    </row>
    <row r="37" spans="2:12" x14ac:dyDescent="0.25">
      <c r="B37" s="21">
        <v>43500</v>
      </c>
      <c r="C37" s="22" t="s">
        <v>167</v>
      </c>
      <c r="D37" s="22" t="s">
        <v>138</v>
      </c>
      <c r="E37" s="28" t="s">
        <v>152</v>
      </c>
      <c r="F37" s="22" t="s">
        <v>140</v>
      </c>
      <c r="G37" s="23">
        <v>3000000</v>
      </c>
      <c r="H37" s="22">
        <v>5011</v>
      </c>
      <c r="I37" s="26" t="str">
        <f>IFERROR(VLOOKUP(GJ[[#This Row],[Acc Number]],COA[[AccNumber]:[Account Name]],2,FALSE),"")</f>
        <v>Beban iklan</v>
      </c>
      <c r="J37" s="24" t="s">
        <v>158</v>
      </c>
      <c r="K37" s="25">
        <f>IF(GJ[[#This Row],[Type]]="CREDIT",GJ[[#This Row],[Amount]]*-1,GJ[[#This Row],[Amount]])</f>
        <v>3000000</v>
      </c>
      <c r="L37" s="22"/>
    </row>
    <row r="38" spans="2:12" x14ac:dyDescent="0.25">
      <c r="B38" s="21">
        <v>43500</v>
      </c>
      <c r="C38" s="22" t="s">
        <v>167</v>
      </c>
      <c r="D38" s="22" t="s">
        <v>138</v>
      </c>
      <c r="E38" s="28" t="s">
        <v>152</v>
      </c>
      <c r="F38" s="22" t="s">
        <v>126</v>
      </c>
      <c r="G38" s="23">
        <v>3000000</v>
      </c>
      <c r="H38" s="22">
        <v>1010</v>
      </c>
      <c r="I38" s="26" t="str">
        <f>IFERROR(VLOOKUP(GJ[[#This Row],[Acc Number]],COA[[AccNumber]:[Account Name]],2,FALSE),"")</f>
        <v>Bank</v>
      </c>
      <c r="J38" s="24" t="s">
        <v>158</v>
      </c>
      <c r="K38" s="25">
        <f>IF(GJ[[#This Row],[Type]]="CREDIT",GJ[[#This Row],[Amount]]*-1,GJ[[#This Row],[Amount]])</f>
        <v>-3000000</v>
      </c>
      <c r="L38" s="22"/>
    </row>
    <row r="39" spans="2:12" x14ac:dyDescent="0.25">
      <c r="B39" s="21">
        <v>43506</v>
      </c>
      <c r="C39" s="22" t="s">
        <v>167</v>
      </c>
      <c r="D39" s="22" t="s">
        <v>138</v>
      </c>
      <c r="E39" s="28" t="s">
        <v>153</v>
      </c>
      <c r="F39" s="22" t="s">
        <v>140</v>
      </c>
      <c r="G39" s="23">
        <v>11200000</v>
      </c>
      <c r="H39" s="22">
        <v>5021</v>
      </c>
      <c r="I39" s="26" t="str">
        <f>IFERROR(VLOOKUP(GJ[[#This Row],[Acc Number]],COA[[AccNumber]:[Account Name]],2,FALSE),"")</f>
        <v>Gaji pegawai</v>
      </c>
      <c r="J39" s="24" t="s">
        <v>94</v>
      </c>
      <c r="K39" s="25">
        <f>IF(GJ[[#This Row],[Type]]="CREDIT",GJ[[#This Row],[Amount]]*-1,GJ[[#This Row],[Amount]])</f>
        <v>11200000</v>
      </c>
      <c r="L39" s="22"/>
    </row>
    <row r="40" spans="2:12" x14ac:dyDescent="0.25">
      <c r="B40" s="21">
        <v>43506</v>
      </c>
      <c r="C40" s="22" t="s">
        <v>167</v>
      </c>
      <c r="D40" s="22" t="s">
        <v>138</v>
      </c>
      <c r="E40" s="28" t="s">
        <v>153</v>
      </c>
      <c r="F40" s="22" t="s">
        <v>126</v>
      </c>
      <c r="G40" s="23">
        <v>11200000</v>
      </c>
      <c r="H40" s="22">
        <v>1010</v>
      </c>
      <c r="I40" s="26" t="str">
        <f>IFERROR(VLOOKUP(GJ[[#This Row],[Acc Number]],COA[[AccNumber]:[Account Name]],2,FALSE),"")</f>
        <v>Bank</v>
      </c>
      <c r="J40" s="24" t="s">
        <v>94</v>
      </c>
      <c r="K40" s="25">
        <f>IF(GJ[[#This Row],[Type]]="CREDIT",GJ[[#This Row],[Amount]]*-1,GJ[[#This Row],[Amount]])</f>
        <v>-11200000</v>
      </c>
      <c r="L40" s="22"/>
    </row>
    <row r="41" spans="2:12" x14ac:dyDescent="0.25">
      <c r="B41" s="21">
        <v>43524</v>
      </c>
      <c r="C41" s="22" t="s">
        <v>167</v>
      </c>
      <c r="D41" s="22" t="s">
        <v>138</v>
      </c>
      <c r="E41" s="30" t="s">
        <v>182</v>
      </c>
      <c r="F41" s="22" t="s">
        <v>140</v>
      </c>
      <c r="G41" s="23">
        <v>14200000</v>
      </c>
      <c r="H41" s="22">
        <v>3010</v>
      </c>
      <c r="I41" s="26" t="str">
        <f>IFERROR(VLOOKUP(GJ[[#This Row],[Acc Number]],COA[[AccNumber]:[Account Name]],2,FALSE),"")</f>
        <v>Akumulasi Laba</v>
      </c>
      <c r="J41" s="27"/>
      <c r="K41" s="25">
        <f>IF(GJ[[#This Row],[Type]]="CREDIT",GJ[[#This Row],[Amount]]*-1,GJ[[#This Row],[Amount]])</f>
        <v>14200000</v>
      </c>
      <c r="L41" s="22"/>
    </row>
    <row r="42" spans="2:12" x14ac:dyDescent="0.25">
      <c r="B42" s="21">
        <v>43524</v>
      </c>
      <c r="C42" s="22" t="s">
        <v>167</v>
      </c>
      <c r="D42" s="22" t="s">
        <v>138</v>
      </c>
      <c r="E42" s="30" t="s">
        <v>182</v>
      </c>
      <c r="F42" s="22" t="s">
        <v>126</v>
      </c>
      <c r="G42" s="23">
        <v>14200000</v>
      </c>
      <c r="H42" s="22">
        <v>9999</v>
      </c>
      <c r="I42" s="26" t="str">
        <f>IFERROR(VLOOKUP(GJ[[#This Row],[Acc Number]],COA[[AccNumber]:[Account Name]],2,FALSE),"")</f>
        <v>Helper Account</v>
      </c>
      <c r="J42" s="27"/>
      <c r="K42" s="25">
        <f>IF(GJ[[#This Row],[Type]]="CREDIT",GJ[[#This Row],[Amount]]*-1,GJ[[#This Row],[Amount]])</f>
        <v>-14200000</v>
      </c>
      <c r="L42" s="22"/>
    </row>
    <row r="43" spans="2:12" x14ac:dyDescent="0.25">
      <c r="B43" t="s">
        <v>133</v>
      </c>
      <c r="J43" s="31"/>
      <c r="K43" s="2">
        <f>SUBTOTAL(109,GJ[Actual Amount])</f>
        <v>0</v>
      </c>
      <c r="L43">
        <f>SUBTOTAL(103,GJ[Remarks])</f>
        <v>0</v>
      </c>
    </row>
  </sheetData>
  <dataValidations count="5">
    <dataValidation type="list" allowBlank="1" showInputMessage="1" showErrorMessage="1" sqref="C7:C42" xr:uid="{00000000-0002-0000-0500-000000000000}">
      <formula1>BatchNumber</formula1>
    </dataValidation>
    <dataValidation type="list" allowBlank="1" showInputMessage="1" showErrorMessage="1" sqref="F7:F42" xr:uid="{00000000-0002-0000-0500-000001000000}">
      <formula1>"DEBIT,CREDIT"</formula1>
    </dataValidation>
    <dataValidation type="list" allowBlank="1" showInputMessage="1" showErrorMessage="1" sqref="H7:H42" xr:uid="{00000000-0002-0000-0500-000002000000}">
      <formula1>AccNumber</formula1>
    </dataValidation>
    <dataValidation type="list" allowBlank="1" showInputMessage="1" showErrorMessage="1" sqref="J7:J42" xr:uid="{00000000-0002-0000-0500-000003000000}">
      <formula1>CFNumber</formula1>
    </dataValidation>
    <dataValidation type="custom" allowBlank="1" showInputMessage="1" showErrorMessage="1" errorTitle="Error" error="Nilai harus positif" sqref="G7:G42" xr:uid="{00000000-0002-0000-0500-000004000000}">
      <formula1>G7&gt;=0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H43"/>
  <sheetViews>
    <sheetView showGridLines="0" zoomScale="115" zoomScaleNormal="115" workbookViewId="0">
      <selection activeCell="D25" sqref="D25"/>
    </sheetView>
  </sheetViews>
  <sheetFormatPr defaultRowHeight="15" x14ac:dyDescent="0.25"/>
  <cols>
    <col min="1" max="1" width="0.42578125" customWidth="1"/>
    <col min="2" max="2" width="12" customWidth="1"/>
    <col min="3" max="3" width="11.140625" customWidth="1"/>
    <col min="4" max="4" width="53.85546875" customWidth="1"/>
    <col min="5" max="7" width="13.140625" customWidth="1"/>
    <col min="8" max="8" width="9" bestFit="1" customWidth="1"/>
    <col min="9" max="9" width="8.28515625" customWidth="1"/>
  </cols>
  <sheetData>
    <row r="1" spans="2:8" ht="21" x14ac:dyDescent="0.35">
      <c r="B1" s="49" t="str">
        <f>setNamaPerusahaan</f>
        <v>OcingAccConsult</v>
      </c>
      <c r="C1" s="50"/>
      <c r="D1" s="50"/>
      <c r="E1" s="61"/>
      <c r="F1" s="52" t="s">
        <v>198</v>
      </c>
      <c r="G1" s="53" t="b">
        <f>ROW(GJ[[#Totals],[Date]])&lt;=ROW(LA[[#Totals],[Date]])</f>
        <v>1</v>
      </c>
      <c r="H1" s="50"/>
    </row>
    <row r="2" spans="2:8" x14ac:dyDescent="0.25">
      <c r="B2" s="50" t="str">
        <f>setAlamatPerusahaan</f>
        <v>Jl, abc1234, Jakarta</v>
      </c>
      <c r="C2" s="50"/>
      <c r="D2" s="50"/>
      <c r="E2" s="51"/>
      <c r="F2" s="55" t="s">
        <v>197</v>
      </c>
      <c r="G2" s="56" t="str">
        <f>INDEX(COA[Normal],MATCH(accountCode,COA[AccNumber],0))</f>
        <v>D</v>
      </c>
      <c r="H2" s="50"/>
    </row>
    <row r="3" spans="2:8" x14ac:dyDescent="0.25">
      <c r="B3" s="64" t="str">
        <f>INDEX("Ledger Account - "&amp;COA[Account Name],MATCH(accountCode,COA[AccNumber],0))</f>
        <v>Ledger Account - Bank</v>
      </c>
      <c r="C3" s="64"/>
      <c r="D3" s="64"/>
      <c r="E3" s="54" t="s">
        <v>195</v>
      </c>
      <c r="F3" s="57" t="s">
        <v>196</v>
      </c>
      <c r="G3" s="56" t="s">
        <v>122</v>
      </c>
      <c r="H3" s="50"/>
    </row>
    <row r="4" spans="2:8" x14ac:dyDescent="0.25">
      <c r="B4" s="64"/>
      <c r="C4" s="64"/>
      <c r="D4" s="64"/>
      <c r="E4" s="58">
        <v>43481</v>
      </c>
      <c r="F4" s="59">
        <v>43496</v>
      </c>
      <c r="G4" s="60">
        <v>1010</v>
      </c>
      <c r="H4" s="50"/>
    </row>
    <row r="5" spans="2:8" x14ac:dyDescent="0.25">
      <c r="B5" s="62" t="s">
        <v>117</v>
      </c>
      <c r="C5" s="62" t="s">
        <v>120</v>
      </c>
      <c r="D5" s="62" t="s">
        <v>79</v>
      </c>
      <c r="E5" s="62" t="s">
        <v>191</v>
      </c>
      <c r="F5" s="62" t="s">
        <v>192</v>
      </c>
      <c r="G5" s="62" t="s">
        <v>193</v>
      </c>
      <c r="H5" s="62" t="s">
        <v>194</v>
      </c>
    </row>
    <row r="6" spans="2:8" x14ac:dyDescent="0.25">
      <c r="B6" s="1">
        <f>IF(ROW()=6,startDate,GJ[[#This Row],[Date]])</f>
        <v>43481</v>
      </c>
      <c r="C6" t="str">
        <f>IF(ROW()=6,"SA",GJ[[#This Row],[Ref]])</f>
        <v>SA</v>
      </c>
      <c r="D6" t="str">
        <f>IF(ROW()=6,"Saldo Awal Per - "&amp;TEXT(startDate,"d mmmm yyyy"),GJ[[#This Row],[Description]])</f>
        <v>Saldo Awal Per - 16 January 2019</v>
      </c>
      <c r="E6" s="15">
        <f>IF(ROW()&lt;&gt;6,IF(AND(GJ[[#This Row],[Date]]&gt;=startDate,GJ[[#This Row],[Date]]&lt;=endDate,GJ[[#This Row],[Acc Number]]=accountCode,GJ[[#This Row],[Type]]="DEBIT"),GJ[[#This Row],[Amount]],0),0)</f>
        <v>0</v>
      </c>
      <c r="F6" s="15">
        <f>IF(ROW()&lt;&gt;6,IF(AND(GJ[[#This Row],[Date]]&gt;=startDate,GJ[[#This Row],[Date]]&lt;=endDate,GJ[[#This Row],[Acc Number]]=accountCode,GJ[[#This Row],[Type]]="CREDIT"),GJ[[#This Row],[Amount]],0),0)</f>
        <v>0</v>
      </c>
      <c r="G6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6" t="str">
        <f>IF(ROW()=6,"OK",IF(AND(GJ[[#This Row],[Acc Number]]=accountCode,GJ[[#This Row],[Date]]&gt;=startDate,GJ[[#This Row],[Date]]&lt;=endDate),"OK",""))</f>
        <v>OK</v>
      </c>
    </row>
    <row r="7" spans="2:8" hidden="1" x14ac:dyDescent="0.25">
      <c r="B7" s="1">
        <f>IF(ROW()=6,startDate,GJ[[#This Row],[Date]])</f>
        <v>43466</v>
      </c>
      <c r="C7" t="str">
        <f>IF(ROW()=6,"SA",GJ[[#This Row],[Ref]])</f>
        <v>SAMPLE.01</v>
      </c>
      <c r="D7" t="str">
        <f>IF(ROW()=6,"Saldo Awal Per - "&amp;TEXT(startDate,"d mmmm yyyy"),GJ[[#This Row],[Description]])</f>
        <v>Neraca Awal</v>
      </c>
      <c r="E7" s="15">
        <f>IF(ROW()&lt;&gt;6,IF(AND(GJ[[#This Row],[Date]]&gt;=startDate,GJ[[#This Row],[Date]]&lt;=endDate,GJ[[#This Row],[Acc Number]]=accountCode,GJ[[#This Row],[Type]]="DEBIT"),GJ[[#This Row],[Amount]],0),0)</f>
        <v>0</v>
      </c>
      <c r="F7" s="15">
        <f>IF(ROW()&lt;&gt;6,IF(AND(GJ[[#This Row],[Date]]&gt;=startDate,GJ[[#This Row],[Date]]&lt;=endDate,GJ[[#This Row],[Acc Number]]=accountCode,GJ[[#This Row],[Type]]="CREDIT"),GJ[[#This Row],[Amount]],0),0)</f>
        <v>0</v>
      </c>
      <c r="G7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7" t="str">
        <f>IF(ROW()=6,"OK",IF(AND(GJ[[#This Row],[Acc Number]]=accountCode,GJ[[#This Row],[Date]]&gt;=startDate,GJ[[#This Row],[Date]]&lt;=endDate),"OK",""))</f>
        <v/>
      </c>
    </row>
    <row r="8" spans="2:8" hidden="1" x14ac:dyDescent="0.25">
      <c r="B8" s="1">
        <f>IF(ROW()=6,startDate,GJ[[#This Row],[Date]])</f>
        <v>43466</v>
      </c>
      <c r="C8" t="str">
        <f>IF(ROW()=6,"SA",GJ[[#This Row],[Ref]])</f>
        <v>SAMPLE.01</v>
      </c>
      <c r="D8" t="str">
        <f>IF(ROW()=6,"Saldo Awal Per - "&amp;TEXT(startDate,"d mmmm yyyy"),GJ[[#This Row],[Description]])</f>
        <v>Neraca Awal</v>
      </c>
      <c r="E8" s="15">
        <f>IF(ROW()&lt;&gt;6,IF(AND(GJ[[#This Row],[Date]]&gt;=startDate,GJ[[#This Row],[Date]]&lt;=endDate,GJ[[#This Row],[Acc Number]]=accountCode,GJ[[#This Row],[Type]]="DEBIT"),GJ[[#This Row],[Amount]],0),0)</f>
        <v>0</v>
      </c>
      <c r="F8" s="15">
        <f>IF(ROW()&lt;&gt;6,IF(AND(GJ[[#This Row],[Date]]&gt;=startDate,GJ[[#This Row],[Date]]&lt;=endDate,GJ[[#This Row],[Acc Number]]=accountCode,GJ[[#This Row],[Type]]="CREDIT"),GJ[[#This Row],[Amount]],0),0)</f>
        <v>0</v>
      </c>
      <c r="G8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8" t="str">
        <f>IF(ROW()=6,"OK",IF(AND(GJ[[#This Row],[Acc Number]]=accountCode,GJ[[#This Row],[Date]]&gt;=startDate,GJ[[#This Row],[Date]]&lt;=endDate),"OK",""))</f>
        <v/>
      </c>
    </row>
    <row r="9" spans="2:8" hidden="1" x14ac:dyDescent="0.25">
      <c r="B9" s="1">
        <f>IF(ROW()=6,startDate,GJ[[#This Row],[Date]])</f>
        <v>43467</v>
      </c>
      <c r="C9" t="str">
        <f>IF(ROW()=6,"SA",GJ[[#This Row],[Ref]])</f>
        <v>SAMPLE.01</v>
      </c>
      <c r="D9" t="str">
        <f>IF(ROW()=6,"Saldo Awal Per - "&amp;TEXT(startDate,"d mmmm yyyy"),GJ[[#This Row],[Description]])</f>
        <v>Pendapatan jasa secara kredit</v>
      </c>
      <c r="E9" s="15">
        <f>IF(ROW()&lt;&gt;6,IF(AND(GJ[[#This Row],[Date]]&gt;=startDate,GJ[[#This Row],[Date]]&lt;=endDate,GJ[[#This Row],[Acc Number]]=accountCode,GJ[[#This Row],[Type]]="DEBIT"),GJ[[#This Row],[Amount]],0),0)</f>
        <v>0</v>
      </c>
      <c r="F9" s="15">
        <f>IF(ROW()&lt;&gt;6,IF(AND(GJ[[#This Row],[Date]]&gt;=startDate,GJ[[#This Row],[Date]]&lt;=endDate,GJ[[#This Row],[Acc Number]]=accountCode,GJ[[#This Row],[Type]]="CREDIT"),GJ[[#This Row],[Amount]],0),0)</f>
        <v>0</v>
      </c>
      <c r="G9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9" t="str">
        <f>IF(ROW()=6,"OK",IF(AND(GJ[[#This Row],[Acc Number]]=accountCode,GJ[[#This Row],[Date]]&gt;=startDate,GJ[[#This Row],[Date]]&lt;=endDate),"OK",""))</f>
        <v/>
      </c>
    </row>
    <row r="10" spans="2:8" hidden="1" x14ac:dyDescent="0.25">
      <c r="B10" s="1">
        <f>IF(ROW()=6,startDate,GJ[[#This Row],[Date]])</f>
        <v>43467</v>
      </c>
      <c r="C10" t="str">
        <f>IF(ROW()=6,"SA",GJ[[#This Row],[Ref]])</f>
        <v>SAMPLE.01</v>
      </c>
      <c r="D10" t="str">
        <f>IF(ROW()=6,"Saldo Awal Per - "&amp;TEXT(startDate,"d mmmm yyyy"),GJ[[#This Row],[Description]])</f>
        <v>Pendapatan jasa secara kredit</v>
      </c>
      <c r="E10" s="15">
        <f>IF(ROW()&lt;&gt;6,IF(AND(GJ[[#This Row],[Date]]&gt;=startDate,GJ[[#This Row],[Date]]&lt;=endDate,GJ[[#This Row],[Acc Number]]=accountCode,GJ[[#This Row],[Type]]="DEBIT"),GJ[[#This Row],[Amount]],0),0)</f>
        <v>0</v>
      </c>
      <c r="F10" s="15">
        <f>IF(ROW()&lt;&gt;6,IF(AND(GJ[[#This Row],[Date]]&gt;=startDate,GJ[[#This Row],[Date]]&lt;=endDate,GJ[[#This Row],[Acc Number]]=accountCode,GJ[[#This Row],[Type]]="CREDIT"),GJ[[#This Row],[Amount]],0),0)</f>
        <v>0</v>
      </c>
      <c r="G10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0" t="str">
        <f>IF(ROW()=6,"OK",IF(AND(GJ[[#This Row],[Acc Number]]=accountCode,GJ[[#This Row],[Date]]&gt;=startDate,GJ[[#This Row],[Date]]&lt;=endDate),"OK",""))</f>
        <v/>
      </c>
    </row>
    <row r="11" spans="2:8" hidden="1" x14ac:dyDescent="0.25">
      <c r="B11" s="1">
        <f>IF(ROW()=6,startDate,GJ[[#This Row],[Date]])</f>
        <v>43470</v>
      </c>
      <c r="C11" t="str">
        <f>IF(ROW()=6,"SA",GJ[[#This Row],[Ref]])</f>
        <v>SAMPLE.01</v>
      </c>
      <c r="D11" t="str">
        <f>IF(ROW()=6,"Saldo Awal Per - "&amp;TEXT(startDate,"d mmmm yyyy"),GJ[[#This Row],[Description]])</f>
        <v>Pendapatan jasa secara tunai</v>
      </c>
      <c r="E11" s="15">
        <f>IF(ROW()&lt;&gt;6,IF(AND(GJ[[#This Row],[Date]]&gt;=startDate,GJ[[#This Row],[Date]]&lt;=endDate,GJ[[#This Row],[Acc Number]]=accountCode,GJ[[#This Row],[Type]]="DEBIT"),GJ[[#This Row],[Amount]],0),0)</f>
        <v>0</v>
      </c>
      <c r="F11" s="15">
        <f>IF(ROW()&lt;&gt;6,IF(AND(GJ[[#This Row],[Date]]&gt;=startDate,GJ[[#This Row],[Date]]&lt;=endDate,GJ[[#This Row],[Acc Number]]=accountCode,GJ[[#This Row],[Type]]="CREDIT"),GJ[[#This Row],[Amount]],0),0)</f>
        <v>0</v>
      </c>
      <c r="G11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1" t="str">
        <f>IF(ROW()=6,"OK",IF(AND(GJ[[#This Row],[Acc Number]]=accountCode,GJ[[#This Row],[Date]]&gt;=startDate,GJ[[#This Row],[Date]]&lt;=endDate),"OK",""))</f>
        <v/>
      </c>
    </row>
    <row r="12" spans="2:8" hidden="1" x14ac:dyDescent="0.25">
      <c r="B12" s="1">
        <f>IF(ROW()=6,startDate,GJ[[#This Row],[Date]])</f>
        <v>43470</v>
      </c>
      <c r="C12" t="str">
        <f>IF(ROW()=6,"SA",GJ[[#This Row],[Ref]])</f>
        <v>SAMPLE.01</v>
      </c>
      <c r="D12" t="str">
        <f>IF(ROW()=6,"Saldo Awal Per - "&amp;TEXT(startDate,"d mmmm yyyy"),GJ[[#This Row],[Description]])</f>
        <v>Pendapatan jasa secara tunai</v>
      </c>
      <c r="E12" s="15">
        <f>IF(ROW()&lt;&gt;6,IF(AND(GJ[[#This Row],[Date]]&gt;=startDate,GJ[[#This Row],[Date]]&lt;=endDate,GJ[[#This Row],[Acc Number]]=accountCode,GJ[[#This Row],[Type]]="DEBIT"),GJ[[#This Row],[Amount]],0),0)</f>
        <v>0</v>
      </c>
      <c r="F12" s="15">
        <f>IF(ROW()&lt;&gt;6,IF(AND(GJ[[#This Row],[Date]]&gt;=startDate,GJ[[#This Row],[Date]]&lt;=endDate,GJ[[#This Row],[Acc Number]]=accountCode,GJ[[#This Row],[Type]]="CREDIT"),GJ[[#This Row],[Amount]],0),0)</f>
        <v>0</v>
      </c>
      <c r="G12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2" t="str">
        <f>IF(ROW()=6,"OK",IF(AND(GJ[[#This Row],[Acc Number]]=accountCode,GJ[[#This Row],[Date]]&gt;=startDate,GJ[[#This Row],[Date]]&lt;=endDate),"OK",""))</f>
        <v/>
      </c>
    </row>
    <row r="13" spans="2:8" hidden="1" x14ac:dyDescent="0.25">
      <c r="B13" s="1">
        <f>IF(ROW()=6,startDate,GJ[[#This Row],[Date]])</f>
        <v>43473</v>
      </c>
      <c r="C13" t="str">
        <f>IF(ROW()=6,"SA",GJ[[#This Row],[Ref]])</f>
        <v>SAMPLE.01</v>
      </c>
      <c r="D13" t="str">
        <f>IF(ROW()=6,"Saldo Awal Per - "&amp;TEXT(startDate,"d mmmm yyyy"),GJ[[#This Row],[Description]])</f>
        <v>Pemindahan dari Bank ke Kas Kantor</v>
      </c>
      <c r="E13" s="15">
        <f>IF(ROW()&lt;&gt;6,IF(AND(GJ[[#This Row],[Date]]&gt;=startDate,GJ[[#This Row],[Date]]&lt;=endDate,GJ[[#This Row],[Acc Number]]=accountCode,GJ[[#This Row],[Type]]="DEBIT"),GJ[[#This Row],[Amount]],0),0)</f>
        <v>0</v>
      </c>
      <c r="F13" s="15">
        <f>IF(ROW()&lt;&gt;6,IF(AND(GJ[[#This Row],[Date]]&gt;=startDate,GJ[[#This Row],[Date]]&lt;=endDate,GJ[[#This Row],[Acc Number]]=accountCode,GJ[[#This Row],[Type]]="CREDIT"),GJ[[#This Row],[Amount]],0),0)</f>
        <v>0</v>
      </c>
      <c r="G13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3" t="str">
        <f>IF(ROW()=6,"OK",IF(AND(GJ[[#This Row],[Acc Number]]=accountCode,GJ[[#This Row],[Date]]&gt;=startDate,GJ[[#This Row],[Date]]&lt;=endDate),"OK",""))</f>
        <v/>
      </c>
    </row>
    <row r="14" spans="2:8" hidden="1" x14ac:dyDescent="0.25">
      <c r="B14" s="1">
        <f>IF(ROW()=6,startDate,GJ[[#This Row],[Date]])</f>
        <v>43473</v>
      </c>
      <c r="C14" t="str">
        <f>IF(ROW()=6,"SA",GJ[[#This Row],[Ref]])</f>
        <v>SAMPLE.01</v>
      </c>
      <c r="D14" t="str">
        <f>IF(ROW()=6,"Saldo Awal Per - "&amp;TEXT(startDate,"d mmmm yyyy"),GJ[[#This Row],[Description]])</f>
        <v>Pemindahan dari Bank ke Kas Kantor</v>
      </c>
      <c r="E14" s="15">
        <f>IF(ROW()&lt;&gt;6,IF(AND(GJ[[#This Row],[Date]]&gt;=startDate,GJ[[#This Row],[Date]]&lt;=endDate,GJ[[#This Row],[Acc Number]]=accountCode,GJ[[#This Row],[Type]]="DEBIT"),GJ[[#This Row],[Amount]],0),0)</f>
        <v>0</v>
      </c>
      <c r="F14" s="15">
        <f>IF(ROW()&lt;&gt;6,IF(AND(GJ[[#This Row],[Date]]&gt;=startDate,GJ[[#This Row],[Date]]&lt;=endDate,GJ[[#This Row],[Acc Number]]=accountCode,GJ[[#This Row],[Type]]="CREDIT"),GJ[[#This Row],[Amount]],0),0)</f>
        <v>0</v>
      </c>
      <c r="G14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4" t="str">
        <f>IF(ROW()=6,"OK",IF(AND(GJ[[#This Row],[Acc Number]]=accountCode,GJ[[#This Row],[Date]]&gt;=startDate,GJ[[#This Row],[Date]]&lt;=endDate),"OK",""))</f>
        <v/>
      </c>
    </row>
    <row r="15" spans="2:8" hidden="1" x14ac:dyDescent="0.25">
      <c r="B15" s="1">
        <f>IF(ROW()=6,startDate,GJ[[#This Row],[Date]])</f>
        <v>43474</v>
      </c>
      <c r="C15" t="str">
        <f>IF(ROW()=6,"SA",GJ[[#This Row],[Ref]])</f>
        <v>SAMPLE.01</v>
      </c>
      <c r="D15" t="str">
        <f>IF(ROW()=6,"Saldo Awal Per - "&amp;TEXT(startDate,"d mmmm yyyy"),GJ[[#This Row],[Description]])</f>
        <v>Bayar tagihan air dan telepon</v>
      </c>
      <c r="E15" s="15">
        <f>IF(ROW()&lt;&gt;6,IF(AND(GJ[[#This Row],[Date]]&gt;=startDate,GJ[[#This Row],[Date]]&lt;=endDate,GJ[[#This Row],[Acc Number]]=accountCode,GJ[[#This Row],[Type]]="DEBIT"),GJ[[#This Row],[Amount]],0),0)</f>
        <v>0</v>
      </c>
      <c r="F15" s="15">
        <f>IF(ROW()&lt;&gt;6,IF(AND(GJ[[#This Row],[Date]]&gt;=startDate,GJ[[#This Row],[Date]]&lt;=endDate,GJ[[#This Row],[Acc Number]]=accountCode,GJ[[#This Row],[Type]]="CREDIT"),GJ[[#This Row],[Amount]],0),0)</f>
        <v>0</v>
      </c>
      <c r="G15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5" t="str">
        <f>IF(ROW()=6,"OK",IF(AND(GJ[[#This Row],[Acc Number]]=accountCode,GJ[[#This Row],[Date]]&gt;=startDate,GJ[[#This Row],[Date]]&lt;=endDate),"OK",""))</f>
        <v/>
      </c>
    </row>
    <row r="16" spans="2:8" hidden="1" x14ac:dyDescent="0.25">
      <c r="B16" s="1">
        <f>IF(ROW()=6,startDate,GJ[[#This Row],[Date]])</f>
        <v>43474</v>
      </c>
      <c r="C16" t="str">
        <f>IF(ROW()=6,"SA",GJ[[#This Row],[Ref]])</f>
        <v>SAMPLE.01</v>
      </c>
      <c r="D16" t="str">
        <f>IF(ROW()=6,"Saldo Awal Per - "&amp;TEXT(startDate,"d mmmm yyyy"),GJ[[#This Row],[Description]])</f>
        <v>Bayar tagihan air dan telepon</v>
      </c>
      <c r="E16" s="15">
        <f>IF(ROW()&lt;&gt;6,IF(AND(GJ[[#This Row],[Date]]&gt;=startDate,GJ[[#This Row],[Date]]&lt;=endDate,GJ[[#This Row],[Acc Number]]=accountCode,GJ[[#This Row],[Type]]="DEBIT"),GJ[[#This Row],[Amount]],0),0)</f>
        <v>0</v>
      </c>
      <c r="F16" s="15">
        <f>IF(ROW()&lt;&gt;6,IF(AND(GJ[[#This Row],[Date]]&gt;=startDate,GJ[[#This Row],[Date]]&lt;=endDate,GJ[[#This Row],[Acc Number]]=accountCode,GJ[[#This Row],[Type]]="CREDIT"),GJ[[#This Row],[Amount]],0),0)</f>
        <v>0</v>
      </c>
      <c r="G16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6" t="str">
        <f>IF(ROW()=6,"OK",IF(AND(GJ[[#This Row],[Acc Number]]=accountCode,GJ[[#This Row],[Date]]&gt;=startDate,GJ[[#This Row],[Date]]&lt;=endDate),"OK",""))</f>
        <v/>
      </c>
    </row>
    <row r="17" spans="2:8" hidden="1" x14ac:dyDescent="0.25">
      <c r="B17" s="1">
        <f>IF(ROW()=6,startDate,GJ[[#This Row],[Date]])</f>
        <v>43475</v>
      </c>
      <c r="C17" t="str">
        <f>IF(ROW()=6,"SA",GJ[[#This Row],[Ref]])</f>
        <v>SAMPLE.01</v>
      </c>
      <c r="D17" t="str">
        <f>IF(ROW()=6,"Saldo Awal Per - "&amp;TEXT(startDate,"d mmmm yyyy"),GJ[[#This Row],[Description]])</f>
        <v>Biaya listrik untuk kantor</v>
      </c>
      <c r="E17" s="15">
        <f>IF(ROW()&lt;&gt;6,IF(AND(GJ[[#This Row],[Date]]&gt;=startDate,GJ[[#This Row],[Date]]&lt;=endDate,GJ[[#This Row],[Acc Number]]=accountCode,GJ[[#This Row],[Type]]="DEBIT"),GJ[[#This Row],[Amount]],0),0)</f>
        <v>0</v>
      </c>
      <c r="F17" s="15">
        <f>IF(ROW()&lt;&gt;6,IF(AND(GJ[[#This Row],[Date]]&gt;=startDate,GJ[[#This Row],[Date]]&lt;=endDate,GJ[[#This Row],[Acc Number]]=accountCode,GJ[[#This Row],[Type]]="CREDIT"),GJ[[#This Row],[Amount]],0),0)</f>
        <v>0</v>
      </c>
      <c r="G17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7" t="str">
        <f>IF(ROW()=6,"OK",IF(AND(GJ[[#This Row],[Acc Number]]=accountCode,GJ[[#This Row],[Date]]&gt;=startDate,GJ[[#This Row],[Date]]&lt;=endDate),"OK",""))</f>
        <v/>
      </c>
    </row>
    <row r="18" spans="2:8" hidden="1" x14ac:dyDescent="0.25">
      <c r="B18" s="1">
        <f>IF(ROW()=6,startDate,GJ[[#This Row],[Date]])</f>
        <v>43475</v>
      </c>
      <c r="C18" t="str">
        <f>IF(ROW()=6,"SA",GJ[[#This Row],[Ref]])</f>
        <v>SAMPLE.01</v>
      </c>
      <c r="D18" t="str">
        <f>IF(ROW()=6,"Saldo Awal Per - "&amp;TEXT(startDate,"d mmmm yyyy"),GJ[[#This Row],[Description]])</f>
        <v>Biaya listrik untuk kantor</v>
      </c>
      <c r="E18" s="15">
        <f>IF(ROW()&lt;&gt;6,IF(AND(GJ[[#This Row],[Date]]&gt;=startDate,GJ[[#This Row],[Date]]&lt;=endDate,GJ[[#This Row],[Acc Number]]=accountCode,GJ[[#This Row],[Type]]="DEBIT"),GJ[[#This Row],[Amount]],0),0)</f>
        <v>0</v>
      </c>
      <c r="F18" s="15">
        <f>IF(ROW()&lt;&gt;6,IF(AND(GJ[[#This Row],[Date]]&gt;=startDate,GJ[[#This Row],[Date]]&lt;=endDate,GJ[[#This Row],[Acc Number]]=accountCode,GJ[[#This Row],[Type]]="CREDIT"),GJ[[#This Row],[Amount]],0),0)</f>
        <v>0</v>
      </c>
      <c r="G18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8" t="str">
        <f>IF(ROW()=6,"OK",IF(AND(GJ[[#This Row],[Acc Number]]=accountCode,GJ[[#This Row],[Date]]&gt;=startDate,GJ[[#This Row],[Date]]&lt;=endDate),"OK",""))</f>
        <v/>
      </c>
    </row>
    <row r="19" spans="2:8" hidden="1" x14ac:dyDescent="0.25">
      <c r="B19" s="1">
        <f>IF(ROW()=6,startDate,GJ[[#This Row],[Date]])</f>
        <v>43476</v>
      </c>
      <c r="C19" t="str">
        <f>IF(ROW()=6,"SA",GJ[[#This Row],[Ref]])</f>
        <v>SAMPLE.01</v>
      </c>
      <c r="D19" t="str">
        <f>IF(ROW()=6,"Saldo Awal Per - "&amp;TEXT(startDate,"d mmmm yyyy"),GJ[[#This Row],[Description]])</f>
        <v>Jamuan untuk tamu</v>
      </c>
      <c r="E19" s="15">
        <f>IF(ROW()&lt;&gt;6,IF(AND(GJ[[#This Row],[Date]]&gt;=startDate,GJ[[#This Row],[Date]]&lt;=endDate,GJ[[#This Row],[Acc Number]]=accountCode,GJ[[#This Row],[Type]]="DEBIT"),GJ[[#This Row],[Amount]],0),0)</f>
        <v>0</v>
      </c>
      <c r="F19" s="15">
        <f>IF(ROW()&lt;&gt;6,IF(AND(GJ[[#This Row],[Date]]&gt;=startDate,GJ[[#This Row],[Date]]&lt;=endDate,GJ[[#This Row],[Acc Number]]=accountCode,GJ[[#This Row],[Type]]="CREDIT"),GJ[[#This Row],[Amount]],0),0)</f>
        <v>0</v>
      </c>
      <c r="G19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19" t="str">
        <f>IF(ROW()=6,"OK",IF(AND(GJ[[#This Row],[Acc Number]]=accountCode,GJ[[#This Row],[Date]]&gt;=startDate,GJ[[#This Row],[Date]]&lt;=endDate),"OK",""))</f>
        <v/>
      </c>
    </row>
    <row r="20" spans="2:8" hidden="1" x14ac:dyDescent="0.25">
      <c r="B20" s="1">
        <f>IF(ROW()=6,startDate,GJ[[#This Row],[Date]])</f>
        <v>43476</v>
      </c>
      <c r="C20" t="str">
        <f>IF(ROW()=6,"SA",GJ[[#This Row],[Ref]])</f>
        <v>SAMPLE.01</v>
      </c>
      <c r="D20" t="str">
        <f>IF(ROW()=6,"Saldo Awal Per - "&amp;TEXT(startDate,"d mmmm yyyy"),GJ[[#This Row],[Description]])</f>
        <v>Jamuan untuk tamu</v>
      </c>
      <c r="E20" s="15">
        <f>IF(ROW()&lt;&gt;6,IF(AND(GJ[[#This Row],[Date]]&gt;=startDate,GJ[[#This Row],[Date]]&lt;=endDate,GJ[[#This Row],[Acc Number]]=accountCode,GJ[[#This Row],[Type]]="DEBIT"),GJ[[#This Row],[Amount]],0),0)</f>
        <v>0</v>
      </c>
      <c r="F20" s="15">
        <f>IF(ROW()&lt;&gt;6,IF(AND(GJ[[#This Row],[Date]]&gt;=startDate,GJ[[#This Row],[Date]]&lt;=endDate,GJ[[#This Row],[Acc Number]]=accountCode,GJ[[#This Row],[Type]]="CREDIT"),GJ[[#This Row],[Amount]],0),0)</f>
        <v>0</v>
      </c>
      <c r="G20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20" t="str">
        <f>IF(ROW()=6,"OK",IF(AND(GJ[[#This Row],[Acc Number]]=accountCode,GJ[[#This Row],[Date]]&gt;=startDate,GJ[[#This Row],[Date]]&lt;=endDate),"OK",""))</f>
        <v/>
      </c>
    </row>
    <row r="21" spans="2:8" hidden="1" x14ac:dyDescent="0.25">
      <c r="B21" s="1">
        <f>IF(ROW()=6,startDate,GJ[[#This Row],[Date]])</f>
        <v>43479</v>
      </c>
      <c r="C21" t="str">
        <f>IF(ROW()=6,"SA",GJ[[#This Row],[Ref]])</f>
        <v>SAMPLE.01</v>
      </c>
      <c r="D21" t="str">
        <f>IF(ROW()=6,"Saldo Awal Per - "&amp;TEXT(startDate,"d mmmm yyyy"),GJ[[#This Row],[Description]])</f>
        <v>Pendapatan jasa secara kredit</v>
      </c>
      <c r="E21" s="15">
        <f>IF(ROW()&lt;&gt;6,IF(AND(GJ[[#This Row],[Date]]&gt;=startDate,GJ[[#This Row],[Date]]&lt;=endDate,GJ[[#This Row],[Acc Number]]=accountCode,GJ[[#This Row],[Type]]="DEBIT"),GJ[[#This Row],[Amount]],0),0)</f>
        <v>0</v>
      </c>
      <c r="F21" s="15">
        <f>IF(ROW()&lt;&gt;6,IF(AND(GJ[[#This Row],[Date]]&gt;=startDate,GJ[[#This Row],[Date]]&lt;=endDate,GJ[[#This Row],[Acc Number]]=accountCode,GJ[[#This Row],[Type]]="CREDIT"),GJ[[#This Row],[Amount]],0),0)</f>
        <v>0</v>
      </c>
      <c r="G21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21" t="str">
        <f>IF(ROW()=6,"OK",IF(AND(GJ[[#This Row],[Acc Number]]=accountCode,GJ[[#This Row],[Date]]&gt;=startDate,GJ[[#This Row],[Date]]&lt;=endDate),"OK",""))</f>
        <v/>
      </c>
    </row>
    <row r="22" spans="2:8" hidden="1" x14ac:dyDescent="0.25">
      <c r="B22" s="1">
        <f>IF(ROW()=6,startDate,GJ[[#This Row],[Date]])</f>
        <v>43479</v>
      </c>
      <c r="C22" t="str">
        <f>IF(ROW()=6,"SA",GJ[[#This Row],[Ref]])</f>
        <v>SAMPLE.01</v>
      </c>
      <c r="D22" t="str">
        <f>IF(ROW()=6,"Saldo Awal Per - "&amp;TEXT(startDate,"d mmmm yyyy"),GJ[[#This Row],[Description]])</f>
        <v>Pendapatan jasa secara kredit</v>
      </c>
      <c r="E22" s="15">
        <f>IF(ROW()&lt;&gt;6,IF(AND(GJ[[#This Row],[Date]]&gt;=startDate,GJ[[#This Row],[Date]]&lt;=endDate,GJ[[#This Row],[Acc Number]]=accountCode,GJ[[#This Row],[Type]]="DEBIT"),GJ[[#This Row],[Amount]],0),0)</f>
        <v>0</v>
      </c>
      <c r="F22" s="15">
        <f>IF(ROW()&lt;&gt;6,IF(AND(GJ[[#This Row],[Date]]&gt;=startDate,GJ[[#This Row],[Date]]&lt;=endDate,GJ[[#This Row],[Acc Number]]=accountCode,GJ[[#This Row],[Type]]="CREDIT"),GJ[[#This Row],[Amount]],0),0)</f>
        <v>0</v>
      </c>
      <c r="G22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16000000</v>
      </c>
      <c r="H22" t="str">
        <f>IF(ROW()=6,"OK",IF(AND(GJ[[#This Row],[Acc Number]]=accountCode,GJ[[#This Row],[Date]]&gt;=startDate,GJ[[#This Row],[Date]]&lt;=endDate),"OK",""))</f>
        <v/>
      </c>
    </row>
    <row r="23" spans="2:8" x14ac:dyDescent="0.25">
      <c r="B23" s="1">
        <f>IF(ROW()=6,startDate,GJ[[#This Row],[Date]])</f>
        <v>43482</v>
      </c>
      <c r="C23" t="str">
        <f>IF(ROW()=6,"SA",GJ[[#This Row],[Ref]])</f>
        <v>SAMPLE.01</v>
      </c>
      <c r="D23" t="str">
        <f>IF(ROW()=6,"Saldo Awal Per - "&amp;TEXT(startDate,"d mmmm yyyy"),GJ[[#This Row],[Description]])</f>
        <v>Tambahan setoran modal dari owner</v>
      </c>
      <c r="E23" s="15">
        <f>IF(ROW()&lt;&gt;6,IF(AND(GJ[[#This Row],[Date]]&gt;=startDate,GJ[[#This Row],[Date]]&lt;=endDate,GJ[[#This Row],[Acc Number]]=accountCode,GJ[[#This Row],[Type]]="DEBIT"),GJ[[#This Row],[Amount]],0),0)</f>
        <v>50000000</v>
      </c>
      <c r="F23" s="15">
        <f>IF(ROW()&lt;&gt;6,IF(AND(GJ[[#This Row],[Date]]&gt;=startDate,GJ[[#This Row],[Date]]&lt;=endDate,GJ[[#This Row],[Acc Number]]=accountCode,GJ[[#This Row],[Type]]="CREDIT"),GJ[[#This Row],[Amount]],0),0)</f>
        <v>0</v>
      </c>
      <c r="G23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66000000</v>
      </c>
      <c r="H23" t="str">
        <f>IF(ROW()=6,"OK",IF(AND(GJ[[#This Row],[Acc Number]]=accountCode,GJ[[#This Row],[Date]]&gt;=startDate,GJ[[#This Row],[Date]]&lt;=endDate),"OK",""))</f>
        <v>OK</v>
      </c>
    </row>
    <row r="24" spans="2:8" hidden="1" x14ac:dyDescent="0.25">
      <c r="B24" s="1">
        <f>IF(ROW()=6,startDate,GJ[[#This Row],[Date]])</f>
        <v>43482</v>
      </c>
      <c r="C24" t="str">
        <f>IF(ROW()=6,"SA",GJ[[#This Row],[Ref]])</f>
        <v>SAMPLE.01</v>
      </c>
      <c r="D24" t="str">
        <f>IF(ROW()=6,"Saldo Awal Per - "&amp;TEXT(startDate,"d mmmm yyyy"),GJ[[#This Row],[Description]])</f>
        <v>Tambahan setoran modal dari owner</v>
      </c>
      <c r="E24" s="15">
        <f>IF(ROW()&lt;&gt;6,IF(AND(GJ[[#This Row],[Date]]&gt;=startDate,GJ[[#This Row],[Date]]&lt;=endDate,GJ[[#This Row],[Acc Number]]=accountCode,GJ[[#This Row],[Type]]="DEBIT"),GJ[[#This Row],[Amount]],0),0)</f>
        <v>0</v>
      </c>
      <c r="F24" s="15">
        <f>IF(ROW()&lt;&gt;6,IF(AND(GJ[[#This Row],[Date]]&gt;=startDate,GJ[[#This Row],[Date]]&lt;=endDate,GJ[[#This Row],[Acc Number]]=accountCode,GJ[[#This Row],[Type]]="CREDIT"),GJ[[#This Row],[Amount]],0),0)</f>
        <v>0</v>
      </c>
      <c r="G24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66000000</v>
      </c>
      <c r="H24" t="str">
        <f>IF(ROW()=6,"OK",IF(AND(GJ[[#This Row],[Acc Number]]=accountCode,GJ[[#This Row],[Date]]&gt;=startDate,GJ[[#This Row],[Date]]&lt;=endDate),"OK",""))</f>
        <v/>
      </c>
    </row>
    <row r="25" spans="2:8" x14ac:dyDescent="0.25">
      <c r="B25" s="1">
        <f>IF(ROW()=6,startDate,GJ[[#This Row],[Date]])</f>
        <v>43485</v>
      </c>
      <c r="C25" t="str">
        <f>IF(ROW()=6,"SA",GJ[[#This Row],[Ref]])</f>
        <v>SAMPLE.01</v>
      </c>
      <c r="D25" t="str">
        <f>IF(ROW()=6,"Saldo Awal Per - "&amp;TEXT(startDate,"d mmmm yyyy"),GJ[[#This Row],[Description]])</f>
        <v>Pinjaman dari Bank</v>
      </c>
      <c r="E25" s="15">
        <f>IF(ROW()&lt;&gt;6,IF(AND(GJ[[#This Row],[Date]]&gt;=startDate,GJ[[#This Row],[Date]]&lt;=endDate,GJ[[#This Row],[Acc Number]]=accountCode,GJ[[#This Row],[Type]]="DEBIT"),GJ[[#This Row],[Amount]],0),0)</f>
        <v>80000000</v>
      </c>
      <c r="F25" s="15">
        <f>IF(ROW()&lt;&gt;6,IF(AND(GJ[[#This Row],[Date]]&gt;=startDate,GJ[[#This Row],[Date]]&lt;=endDate,GJ[[#This Row],[Acc Number]]=accountCode,GJ[[#This Row],[Type]]="CREDIT"),GJ[[#This Row],[Amount]],0),0)</f>
        <v>0</v>
      </c>
      <c r="G25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146000000</v>
      </c>
      <c r="H25" t="str">
        <f>IF(ROW()=6,"OK",IF(AND(GJ[[#This Row],[Acc Number]]=accountCode,GJ[[#This Row],[Date]]&gt;=startDate,GJ[[#This Row],[Date]]&lt;=endDate),"OK",""))</f>
        <v>OK</v>
      </c>
    </row>
    <row r="26" spans="2:8" hidden="1" x14ac:dyDescent="0.25">
      <c r="B26" s="1">
        <f>IF(ROW()=6,startDate,GJ[[#This Row],[Date]])</f>
        <v>43485</v>
      </c>
      <c r="C26" t="str">
        <f>IF(ROW()=6,"SA",GJ[[#This Row],[Ref]])</f>
        <v>SAMPLE.01</v>
      </c>
      <c r="D26" t="str">
        <f>IF(ROW()=6,"Saldo Awal Per - "&amp;TEXT(startDate,"d mmmm yyyy"),GJ[[#This Row],[Description]])</f>
        <v>Pinjaman dari Bank</v>
      </c>
      <c r="E26" s="15">
        <f>IF(ROW()&lt;&gt;6,IF(AND(GJ[[#This Row],[Date]]&gt;=startDate,GJ[[#This Row],[Date]]&lt;=endDate,GJ[[#This Row],[Acc Number]]=accountCode,GJ[[#This Row],[Type]]="DEBIT"),GJ[[#This Row],[Amount]],0),0)</f>
        <v>0</v>
      </c>
      <c r="F26" s="15">
        <f>IF(ROW()&lt;&gt;6,IF(AND(GJ[[#This Row],[Date]]&gt;=startDate,GJ[[#This Row],[Date]]&lt;=endDate,GJ[[#This Row],[Acc Number]]=accountCode,GJ[[#This Row],[Type]]="CREDIT"),GJ[[#This Row],[Amount]],0),0)</f>
        <v>0</v>
      </c>
      <c r="G26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146000000</v>
      </c>
      <c r="H26" t="str">
        <f>IF(ROW()=6,"OK",IF(AND(GJ[[#This Row],[Acc Number]]=accountCode,GJ[[#This Row],[Date]]&gt;=startDate,GJ[[#This Row],[Date]]&lt;=endDate),"OK",""))</f>
        <v/>
      </c>
    </row>
    <row r="27" spans="2:8" x14ac:dyDescent="0.25">
      <c r="B27" s="1">
        <f>IF(ROW()=6,startDate,GJ[[#This Row],[Date]])</f>
        <v>43487</v>
      </c>
      <c r="C27" t="str">
        <f>IF(ROW()=6,"SA",GJ[[#This Row],[Ref]])</f>
        <v>SAMPLE.01</v>
      </c>
      <c r="D27" t="str">
        <f>IF(ROW()=6,"Saldo Awal Per - "&amp;TEXT(startDate,"d mmmm yyyy"),GJ[[#This Row],[Description]])</f>
        <v>Menerima pembayaran piutang dari customer</v>
      </c>
      <c r="E27" s="15">
        <f>IF(ROW()&lt;&gt;6,IF(AND(GJ[[#This Row],[Date]]&gt;=startDate,GJ[[#This Row],[Date]]&lt;=endDate,GJ[[#This Row],[Acc Number]]=accountCode,GJ[[#This Row],[Type]]="DEBIT"),GJ[[#This Row],[Amount]],0),0)</f>
        <v>24000000</v>
      </c>
      <c r="F27" s="15">
        <f>IF(ROW()&lt;&gt;6,IF(AND(GJ[[#This Row],[Date]]&gt;=startDate,GJ[[#This Row],[Date]]&lt;=endDate,GJ[[#This Row],[Acc Number]]=accountCode,GJ[[#This Row],[Type]]="CREDIT"),GJ[[#This Row],[Amount]],0),0)</f>
        <v>0</v>
      </c>
      <c r="G27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170000000</v>
      </c>
      <c r="H27" t="str">
        <f>IF(ROW()=6,"OK",IF(AND(GJ[[#This Row],[Acc Number]]=accountCode,GJ[[#This Row],[Date]]&gt;=startDate,GJ[[#This Row],[Date]]&lt;=endDate),"OK",""))</f>
        <v>OK</v>
      </c>
    </row>
    <row r="28" spans="2:8" hidden="1" x14ac:dyDescent="0.25">
      <c r="B28" s="1">
        <f>IF(ROW()=6,startDate,GJ[[#This Row],[Date]])</f>
        <v>43487</v>
      </c>
      <c r="C28" t="str">
        <f>IF(ROW()=6,"SA",GJ[[#This Row],[Ref]])</f>
        <v>SAMPLE.01</v>
      </c>
      <c r="D28" t="str">
        <f>IF(ROW()=6,"Saldo Awal Per - "&amp;TEXT(startDate,"d mmmm yyyy"),GJ[[#This Row],[Description]])</f>
        <v>Menerima pembayaran piutang dari customer</v>
      </c>
      <c r="E28" s="15">
        <f>IF(ROW()&lt;&gt;6,IF(AND(GJ[[#This Row],[Date]]&gt;=startDate,GJ[[#This Row],[Date]]&lt;=endDate,GJ[[#This Row],[Acc Number]]=accountCode,GJ[[#This Row],[Type]]="DEBIT"),GJ[[#This Row],[Amount]],0),0)</f>
        <v>0</v>
      </c>
      <c r="F28" s="15">
        <f>IF(ROW()&lt;&gt;6,IF(AND(GJ[[#This Row],[Date]]&gt;=startDate,GJ[[#This Row],[Date]]&lt;=endDate,GJ[[#This Row],[Acc Number]]=accountCode,GJ[[#This Row],[Type]]="CREDIT"),GJ[[#This Row],[Amount]],0),0)</f>
        <v>0</v>
      </c>
      <c r="G28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170000000</v>
      </c>
      <c r="H28" t="str">
        <f>IF(ROW()=6,"OK",IF(AND(GJ[[#This Row],[Acc Number]]=accountCode,GJ[[#This Row],[Date]]&gt;=startDate,GJ[[#This Row],[Date]]&lt;=endDate),"OK",""))</f>
        <v/>
      </c>
    </row>
    <row r="29" spans="2:8" hidden="1" x14ac:dyDescent="0.25">
      <c r="B29" s="1">
        <f>IF(ROW()=6,startDate,GJ[[#This Row],[Date]])</f>
        <v>43490</v>
      </c>
      <c r="C29" t="str">
        <f>IF(ROW()=6,"SA",GJ[[#This Row],[Ref]])</f>
        <v>SAMPLE.01</v>
      </c>
      <c r="D29" t="str">
        <f>IF(ROW()=6,"Saldo Awal Per - "&amp;TEXT(startDate,"d mmmm yyyy"),GJ[[#This Row],[Description]])</f>
        <v>Pembelian kendaraan</v>
      </c>
      <c r="E29" s="15">
        <f>IF(ROW()&lt;&gt;6,IF(AND(GJ[[#This Row],[Date]]&gt;=startDate,GJ[[#This Row],[Date]]&lt;=endDate,GJ[[#This Row],[Acc Number]]=accountCode,GJ[[#This Row],[Type]]="DEBIT"),GJ[[#This Row],[Amount]],0),0)</f>
        <v>0</v>
      </c>
      <c r="F29" s="15">
        <f>IF(ROW()&lt;&gt;6,IF(AND(GJ[[#This Row],[Date]]&gt;=startDate,GJ[[#This Row],[Date]]&lt;=endDate,GJ[[#This Row],[Acc Number]]=accountCode,GJ[[#This Row],[Type]]="CREDIT"),GJ[[#This Row],[Amount]],0),0)</f>
        <v>0</v>
      </c>
      <c r="G29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170000000</v>
      </c>
      <c r="H29" t="str">
        <f>IF(ROW()=6,"OK",IF(AND(GJ[[#This Row],[Acc Number]]=accountCode,GJ[[#This Row],[Date]]&gt;=startDate,GJ[[#This Row],[Date]]&lt;=endDate),"OK",""))</f>
        <v/>
      </c>
    </row>
    <row r="30" spans="2:8" x14ac:dyDescent="0.25">
      <c r="B30" s="1">
        <f>IF(ROW()=6,startDate,GJ[[#This Row],[Date]])</f>
        <v>43490</v>
      </c>
      <c r="C30" t="str">
        <f>IF(ROW()=6,"SA",GJ[[#This Row],[Ref]])</f>
        <v>SAMPLE.01</v>
      </c>
      <c r="D30" t="str">
        <f>IF(ROW()=6,"Saldo Awal Per - "&amp;TEXT(startDate,"d mmmm yyyy"),GJ[[#This Row],[Description]])</f>
        <v>Pembelian kendaraan</v>
      </c>
      <c r="E30" s="15">
        <f>IF(ROW()&lt;&gt;6,IF(AND(GJ[[#This Row],[Date]]&gt;=startDate,GJ[[#This Row],[Date]]&lt;=endDate,GJ[[#This Row],[Acc Number]]=accountCode,GJ[[#This Row],[Type]]="DEBIT"),GJ[[#This Row],[Amount]],0),0)</f>
        <v>0</v>
      </c>
      <c r="F30" s="15">
        <f>IF(ROW()&lt;&gt;6,IF(AND(GJ[[#This Row],[Date]]&gt;=startDate,GJ[[#This Row],[Date]]&lt;=endDate,GJ[[#This Row],[Acc Number]]=accountCode,GJ[[#This Row],[Type]]="CREDIT"),GJ[[#This Row],[Amount]],0),0)</f>
        <v>167000000</v>
      </c>
      <c r="G30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3000000</v>
      </c>
      <c r="H30" t="str">
        <f>IF(ROW()=6,"OK",IF(AND(GJ[[#This Row],[Acc Number]]=accountCode,GJ[[#This Row],[Date]]&gt;=startDate,GJ[[#This Row],[Date]]&lt;=endDate),"OK",""))</f>
        <v>OK</v>
      </c>
    </row>
    <row r="31" spans="2:8" hidden="1" x14ac:dyDescent="0.25">
      <c r="B31" s="1">
        <f>IF(ROW()=6,startDate,GJ[[#This Row],[Date]])</f>
        <v>43491</v>
      </c>
      <c r="C31" t="str">
        <f>IF(ROW()=6,"SA",GJ[[#This Row],[Ref]])</f>
        <v>SAMPLE.01</v>
      </c>
      <c r="D31" t="str">
        <f>IF(ROW()=6,"Saldo Awal Per - "&amp;TEXT(startDate,"d mmmm yyyy"),GJ[[#This Row],[Description]])</f>
        <v>Beban Iklan</v>
      </c>
      <c r="E31" s="15">
        <f>IF(ROW()&lt;&gt;6,IF(AND(GJ[[#This Row],[Date]]&gt;=startDate,GJ[[#This Row],[Date]]&lt;=endDate,GJ[[#This Row],[Acc Number]]=accountCode,GJ[[#This Row],[Type]]="DEBIT"),GJ[[#This Row],[Amount]],0),0)</f>
        <v>0</v>
      </c>
      <c r="F31" s="15">
        <f>IF(ROW()&lt;&gt;6,IF(AND(GJ[[#This Row],[Date]]&gt;=startDate,GJ[[#This Row],[Date]]&lt;=endDate,GJ[[#This Row],[Acc Number]]=accountCode,GJ[[#This Row],[Type]]="CREDIT"),GJ[[#This Row],[Amount]],0),0)</f>
        <v>0</v>
      </c>
      <c r="G31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3000000</v>
      </c>
      <c r="H31" t="str">
        <f>IF(ROW()=6,"OK",IF(AND(GJ[[#This Row],[Acc Number]]=accountCode,GJ[[#This Row],[Date]]&gt;=startDate,GJ[[#This Row],[Date]]&lt;=endDate),"OK",""))</f>
        <v/>
      </c>
    </row>
    <row r="32" spans="2:8" x14ac:dyDescent="0.25">
      <c r="B32" s="1">
        <f>IF(ROW()=6,startDate,GJ[[#This Row],[Date]])</f>
        <v>43491</v>
      </c>
      <c r="C32" t="str">
        <f>IF(ROW()=6,"SA",GJ[[#This Row],[Ref]])</f>
        <v>SAMPLE.01</v>
      </c>
      <c r="D32" t="str">
        <f>IF(ROW()=6,"Saldo Awal Per - "&amp;TEXT(startDate,"d mmmm yyyy"),GJ[[#This Row],[Description]])</f>
        <v>Beban Iklan</v>
      </c>
      <c r="E32" s="15">
        <f>IF(ROW()&lt;&gt;6,IF(AND(GJ[[#This Row],[Date]]&gt;=startDate,GJ[[#This Row],[Date]]&lt;=endDate,GJ[[#This Row],[Acc Number]]=accountCode,GJ[[#This Row],[Type]]="DEBIT"),GJ[[#This Row],[Amount]],0),0)</f>
        <v>0</v>
      </c>
      <c r="F32" s="15">
        <f>IF(ROW()&lt;&gt;6,IF(AND(GJ[[#This Row],[Date]]&gt;=startDate,GJ[[#This Row],[Date]]&lt;=endDate,GJ[[#This Row],[Acc Number]]=accountCode,GJ[[#This Row],[Type]]="CREDIT"),GJ[[#This Row],[Amount]],0),0)</f>
        <v>2500000</v>
      </c>
      <c r="G32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500000</v>
      </c>
      <c r="H32" t="str">
        <f>IF(ROW()=6,"OK",IF(AND(GJ[[#This Row],[Acc Number]]=accountCode,GJ[[#This Row],[Date]]&gt;=startDate,GJ[[#This Row],[Date]]&lt;=endDate),"OK",""))</f>
        <v>OK</v>
      </c>
    </row>
    <row r="33" spans="2:8" hidden="1" x14ac:dyDescent="0.25">
      <c r="B33" s="1">
        <f>IF(ROW()=6,startDate,GJ[[#This Row],[Date]])</f>
        <v>43493</v>
      </c>
      <c r="C33" t="str">
        <f>IF(ROW()=6,"SA",GJ[[#This Row],[Ref]])</f>
        <v>SAMPLE.01</v>
      </c>
      <c r="D33" t="str">
        <f>IF(ROW()=6,"Saldo Awal Per - "&amp;TEXT(startDate,"d mmmm yyyy"),GJ[[#This Row],[Description]])</f>
        <v>Bayar gaji karyawan</v>
      </c>
      <c r="E33" s="15">
        <f>IF(ROW()&lt;&gt;6,IF(AND(GJ[[#This Row],[Date]]&gt;=startDate,GJ[[#This Row],[Date]]&lt;=endDate,GJ[[#This Row],[Acc Number]]=accountCode,GJ[[#This Row],[Type]]="DEBIT"),GJ[[#This Row],[Amount]],0),0)</f>
        <v>0</v>
      </c>
      <c r="F33" s="15">
        <f>IF(ROW()&lt;&gt;6,IF(AND(GJ[[#This Row],[Date]]&gt;=startDate,GJ[[#This Row],[Date]]&lt;=endDate,GJ[[#This Row],[Acc Number]]=accountCode,GJ[[#This Row],[Type]]="CREDIT"),GJ[[#This Row],[Amount]],0),0)</f>
        <v>0</v>
      </c>
      <c r="G33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500000</v>
      </c>
      <c r="H33" t="str">
        <f>IF(ROW()=6,"OK",IF(AND(GJ[[#This Row],[Acc Number]]=accountCode,GJ[[#This Row],[Date]]&gt;=startDate,GJ[[#This Row],[Date]]&lt;=endDate),"OK",""))</f>
        <v/>
      </c>
    </row>
    <row r="34" spans="2:8" x14ac:dyDescent="0.25">
      <c r="B34" s="1">
        <f>IF(ROW()=6,startDate,GJ[[#This Row],[Date]])</f>
        <v>43493</v>
      </c>
      <c r="C34" t="str">
        <f>IF(ROW()=6,"SA",GJ[[#This Row],[Ref]])</f>
        <v>SAMPLE.01</v>
      </c>
      <c r="D34" t="str">
        <f>IF(ROW()=6,"Saldo Awal Per - "&amp;TEXT(startDate,"d mmmm yyyy"),GJ[[#This Row],[Description]])</f>
        <v>Bayar gaji karyawan</v>
      </c>
      <c r="E34" s="15">
        <f>IF(ROW()&lt;&gt;6,IF(AND(GJ[[#This Row],[Date]]&gt;=startDate,GJ[[#This Row],[Date]]&lt;=endDate,GJ[[#This Row],[Acc Number]]=accountCode,GJ[[#This Row],[Type]]="DEBIT"),GJ[[#This Row],[Amount]],0),0)</f>
        <v>0</v>
      </c>
      <c r="F34" s="15">
        <f>IF(ROW()&lt;&gt;6,IF(AND(GJ[[#This Row],[Date]]&gt;=startDate,GJ[[#This Row],[Date]]&lt;=endDate,GJ[[#This Row],[Acc Number]]=accountCode,GJ[[#This Row],[Type]]="CREDIT"),GJ[[#This Row],[Amount]],0),0)</f>
        <v>12000000</v>
      </c>
      <c r="G34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4" t="str">
        <f>IF(ROW()=6,"OK",IF(AND(GJ[[#This Row],[Acc Number]]=accountCode,GJ[[#This Row],[Date]]&gt;=startDate,GJ[[#This Row],[Date]]&lt;=endDate),"OK",""))</f>
        <v>OK</v>
      </c>
    </row>
    <row r="35" spans="2:8" hidden="1" x14ac:dyDescent="0.25">
      <c r="B35" s="1">
        <f>IF(ROW()=6,startDate,GJ[[#This Row],[Date]])</f>
        <v>43496</v>
      </c>
      <c r="C35" t="str">
        <f>IF(ROW()=6,"SA",GJ[[#This Row],[Ref]])</f>
        <v>SAMPLE.01</v>
      </c>
      <c r="D35" t="str">
        <f>IF(ROW()=6,"Saldo Awal Per - "&amp;TEXT(startDate,"d mmmm yyyy"),GJ[[#This Row],[Description]])</f>
        <v>Closing entry - Januari 2019</v>
      </c>
      <c r="E35" s="15">
        <f>IF(ROW()&lt;&gt;6,IF(AND(GJ[[#This Row],[Date]]&gt;=startDate,GJ[[#This Row],[Date]]&lt;=endDate,GJ[[#This Row],[Acc Number]]=accountCode,GJ[[#This Row],[Type]]="DEBIT"),GJ[[#This Row],[Amount]],0),0)</f>
        <v>0</v>
      </c>
      <c r="F35" s="15">
        <f>IF(ROW()&lt;&gt;6,IF(AND(GJ[[#This Row],[Date]]&gt;=startDate,GJ[[#This Row],[Date]]&lt;=endDate,GJ[[#This Row],[Acc Number]]=accountCode,GJ[[#This Row],[Type]]="CREDIT"),GJ[[#This Row],[Amount]],0),0)</f>
        <v>0</v>
      </c>
      <c r="G35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5" t="str">
        <f>IF(ROW()=6,"OK",IF(AND(GJ[[#This Row],[Acc Number]]=accountCode,GJ[[#This Row],[Date]]&gt;=startDate,GJ[[#This Row],[Date]]&lt;=endDate),"OK",""))</f>
        <v/>
      </c>
    </row>
    <row r="36" spans="2:8" hidden="1" x14ac:dyDescent="0.25">
      <c r="B36" s="1">
        <f>IF(ROW()=6,startDate,GJ[[#This Row],[Date]])</f>
        <v>43496</v>
      </c>
      <c r="C36" t="str">
        <f>IF(ROW()=6,"SA",GJ[[#This Row],[Ref]])</f>
        <v>SAMPLE.01</v>
      </c>
      <c r="D36" t="str">
        <f>IF(ROW()=6,"Saldo Awal Per - "&amp;TEXT(startDate,"d mmmm yyyy"),GJ[[#This Row],[Description]])</f>
        <v>Closing entry - Januari 2019</v>
      </c>
      <c r="E36" s="15">
        <f>IF(ROW()&lt;&gt;6,IF(AND(GJ[[#This Row],[Date]]&gt;=startDate,GJ[[#This Row],[Date]]&lt;=endDate,GJ[[#This Row],[Acc Number]]=accountCode,GJ[[#This Row],[Type]]="DEBIT"),GJ[[#This Row],[Amount]],0),0)</f>
        <v>0</v>
      </c>
      <c r="F36" s="15">
        <f>IF(ROW()&lt;&gt;6,IF(AND(GJ[[#This Row],[Date]]&gt;=startDate,GJ[[#This Row],[Date]]&lt;=endDate,GJ[[#This Row],[Acc Number]]=accountCode,GJ[[#This Row],[Type]]="CREDIT"),GJ[[#This Row],[Amount]],0),0)</f>
        <v>0</v>
      </c>
      <c r="G36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6" t="str">
        <f>IF(ROW()=6,"OK",IF(AND(GJ[[#This Row],[Acc Number]]=accountCode,GJ[[#This Row],[Date]]&gt;=startDate,GJ[[#This Row],[Date]]&lt;=endDate),"OK",""))</f>
        <v/>
      </c>
    </row>
    <row r="37" spans="2:8" hidden="1" x14ac:dyDescent="0.25">
      <c r="B37" s="1">
        <f>IF(ROW()=6,startDate,GJ[[#This Row],[Date]])</f>
        <v>43500</v>
      </c>
      <c r="C37" t="str">
        <f>IF(ROW()=6,"SA",GJ[[#This Row],[Ref]])</f>
        <v>SAMPLE.01</v>
      </c>
      <c r="D37" t="str">
        <f>IF(ROW()=6,"Saldo Awal Per - "&amp;TEXT(startDate,"d mmmm yyyy"),GJ[[#This Row],[Description]])</f>
        <v>Beban Iklan</v>
      </c>
      <c r="E37" s="15">
        <f>IF(ROW()&lt;&gt;6,IF(AND(GJ[[#This Row],[Date]]&gt;=startDate,GJ[[#This Row],[Date]]&lt;=endDate,GJ[[#This Row],[Acc Number]]=accountCode,GJ[[#This Row],[Type]]="DEBIT"),GJ[[#This Row],[Amount]],0),0)</f>
        <v>0</v>
      </c>
      <c r="F37" s="15">
        <f>IF(ROW()&lt;&gt;6,IF(AND(GJ[[#This Row],[Date]]&gt;=startDate,GJ[[#This Row],[Date]]&lt;=endDate,GJ[[#This Row],[Acc Number]]=accountCode,GJ[[#This Row],[Type]]="CREDIT"),GJ[[#This Row],[Amount]],0),0)</f>
        <v>0</v>
      </c>
      <c r="G37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7" t="str">
        <f>IF(ROW()=6,"OK",IF(AND(GJ[[#This Row],[Acc Number]]=accountCode,GJ[[#This Row],[Date]]&gt;=startDate,GJ[[#This Row],[Date]]&lt;=endDate),"OK",""))</f>
        <v/>
      </c>
    </row>
    <row r="38" spans="2:8" hidden="1" x14ac:dyDescent="0.25">
      <c r="B38" s="1">
        <f>IF(ROW()=6,startDate,GJ[[#This Row],[Date]])</f>
        <v>43500</v>
      </c>
      <c r="C38" t="str">
        <f>IF(ROW()=6,"SA",GJ[[#This Row],[Ref]])</f>
        <v>SAMPLE.01</v>
      </c>
      <c r="D38" t="str">
        <f>IF(ROW()=6,"Saldo Awal Per - "&amp;TEXT(startDate,"d mmmm yyyy"),GJ[[#This Row],[Description]])</f>
        <v>Beban Iklan</v>
      </c>
      <c r="E38" s="15">
        <f>IF(ROW()&lt;&gt;6,IF(AND(GJ[[#This Row],[Date]]&gt;=startDate,GJ[[#This Row],[Date]]&lt;=endDate,GJ[[#This Row],[Acc Number]]=accountCode,GJ[[#This Row],[Type]]="DEBIT"),GJ[[#This Row],[Amount]],0),0)</f>
        <v>0</v>
      </c>
      <c r="F38" s="15">
        <f>IF(ROW()&lt;&gt;6,IF(AND(GJ[[#This Row],[Date]]&gt;=startDate,GJ[[#This Row],[Date]]&lt;=endDate,GJ[[#This Row],[Acc Number]]=accountCode,GJ[[#This Row],[Type]]="CREDIT"),GJ[[#This Row],[Amount]],0),0)</f>
        <v>0</v>
      </c>
      <c r="G38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8" t="str">
        <f>IF(ROW()=6,"OK",IF(AND(GJ[[#This Row],[Acc Number]]=accountCode,GJ[[#This Row],[Date]]&gt;=startDate,GJ[[#This Row],[Date]]&lt;=endDate),"OK",""))</f>
        <v/>
      </c>
    </row>
    <row r="39" spans="2:8" hidden="1" x14ac:dyDescent="0.25">
      <c r="B39" s="1">
        <f>IF(ROW()=6,startDate,GJ[[#This Row],[Date]])</f>
        <v>43506</v>
      </c>
      <c r="C39" t="str">
        <f>IF(ROW()=6,"SA",GJ[[#This Row],[Ref]])</f>
        <v>SAMPLE.01</v>
      </c>
      <c r="D39" t="str">
        <f>IF(ROW()=6,"Saldo Awal Per - "&amp;TEXT(startDate,"d mmmm yyyy"),GJ[[#This Row],[Description]])</f>
        <v>Bayar gaji karyawan</v>
      </c>
      <c r="E39" s="15">
        <f>IF(ROW()&lt;&gt;6,IF(AND(GJ[[#This Row],[Date]]&gt;=startDate,GJ[[#This Row],[Date]]&lt;=endDate,GJ[[#This Row],[Acc Number]]=accountCode,GJ[[#This Row],[Type]]="DEBIT"),GJ[[#This Row],[Amount]],0),0)</f>
        <v>0</v>
      </c>
      <c r="F39" s="15">
        <f>IF(ROW()&lt;&gt;6,IF(AND(GJ[[#This Row],[Date]]&gt;=startDate,GJ[[#This Row],[Date]]&lt;=endDate,GJ[[#This Row],[Acc Number]]=accountCode,GJ[[#This Row],[Type]]="CREDIT"),GJ[[#This Row],[Amount]],0),0)</f>
        <v>0</v>
      </c>
      <c r="G39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39" t="str">
        <f>IF(ROW()=6,"OK",IF(AND(GJ[[#This Row],[Acc Number]]=accountCode,GJ[[#This Row],[Date]]&gt;=startDate,GJ[[#This Row],[Date]]&lt;=endDate),"OK",""))</f>
        <v/>
      </c>
    </row>
    <row r="40" spans="2:8" hidden="1" x14ac:dyDescent="0.25">
      <c r="B40" s="1">
        <f>IF(ROW()=6,startDate,GJ[[#This Row],[Date]])</f>
        <v>43506</v>
      </c>
      <c r="C40" t="str">
        <f>IF(ROW()=6,"SA",GJ[[#This Row],[Ref]])</f>
        <v>SAMPLE.01</v>
      </c>
      <c r="D40" t="str">
        <f>IF(ROW()=6,"Saldo Awal Per - "&amp;TEXT(startDate,"d mmmm yyyy"),GJ[[#This Row],[Description]])</f>
        <v>Bayar gaji karyawan</v>
      </c>
      <c r="E40" s="15">
        <f>IF(ROW()&lt;&gt;6,IF(AND(GJ[[#This Row],[Date]]&gt;=startDate,GJ[[#This Row],[Date]]&lt;=endDate,GJ[[#This Row],[Acc Number]]=accountCode,GJ[[#This Row],[Type]]="DEBIT"),GJ[[#This Row],[Amount]],0),0)</f>
        <v>0</v>
      </c>
      <c r="F40" s="15">
        <f>IF(ROW()&lt;&gt;6,IF(AND(GJ[[#This Row],[Date]]&gt;=startDate,GJ[[#This Row],[Date]]&lt;=endDate,GJ[[#This Row],[Acc Number]]=accountCode,GJ[[#This Row],[Type]]="CREDIT"),GJ[[#This Row],[Amount]],0),0)</f>
        <v>0</v>
      </c>
      <c r="G40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40" t="str">
        <f>IF(ROW()=6,"OK",IF(AND(GJ[[#This Row],[Acc Number]]=accountCode,GJ[[#This Row],[Date]]&gt;=startDate,GJ[[#This Row],[Date]]&lt;=endDate),"OK",""))</f>
        <v/>
      </c>
    </row>
    <row r="41" spans="2:8" hidden="1" x14ac:dyDescent="0.25">
      <c r="B41" s="1">
        <f>IF(ROW()=6,startDate,GJ[[#This Row],[Date]])</f>
        <v>43524</v>
      </c>
      <c r="C41" t="str">
        <f>IF(ROW()=6,"SA",GJ[[#This Row],[Ref]])</f>
        <v>SAMPLE.01</v>
      </c>
      <c r="D41" t="str">
        <f>IF(ROW()=6,"Saldo Awal Per - "&amp;TEXT(startDate,"d mmmm yyyy"),GJ[[#This Row],[Description]])</f>
        <v>Closing entry - Februari 2019</v>
      </c>
      <c r="E41" s="15">
        <f>IF(ROW()&lt;&gt;6,IF(AND(GJ[[#This Row],[Date]]&gt;=startDate,GJ[[#This Row],[Date]]&lt;=endDate,GJ[[#This Row],[Acc Number]]=accountCode,GJ[[#This Row],[Type]]="DEBIT"),GJ[[#This Row],[Amount]],0),0)</f>
        <v>0</v>
      </c>
      <c r="F41" s="15">
        <f>IF(ROW()&lt;&gt;6,IF(AND(GJ[[#This Row],[Date]]&gt;=startDate,GJ[[#This Row],[Date]]&lt;=endDate,GJ[[#This Row],[Acc Number]]=accountCode,GJ[[#This Row],[Type]]="CREDIT"),GJ[[#This Row],[Amount]],0),0)</f>
        <v>0</v>
      </c>
      <c r="G41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41" t="str">
        <f>IF(ROW()=6,"OK",IF(AND(GJ[[#This Row],[Acc Number]]=accountCode,GJ[[#This Row],[Date]]&gt;=startDate,GJ[[#This Row],[Date]]&lt;=endDate),"OK",""))</f>
        <v/>
      </c>
    </row>
    <row r="42" spans="2:8" hidden="1" x14ac:dyDescent="0.25">
      <c r="B42" s="1">
        <f>IF(ROW()=6,startDate,GJ[[#This Row],[Date]])</f>
        <v>43524</v>
      </c>
      <c r="C42" t="str">
        <f>IF(ROW()=6,"SA",GJ[[#This Row],[Ref]])</f>
        <v>SAMPLE.01</v>
      </c>
      <c r="D42" t="str">
        <f>IF(ROW()=6,"Saldo Awal Per - "&amp;TEXT(startDate,"d mmmm yyyy"),GJ[[#This Row],[Description]])</f>
        <v>Closing entry - Februari 2019</v>
      </c>
      <c r="E42" s="15">
        <f>IF(ROW()&lt;&gt;6,IF(AND(GJ[[#This Row],[Date]]&gt;=startDate,GJ[[#This Row],[Date]]&lt;=endDate,GJ[[#This Row],[Acc Number]]=accountCode,GJ[[#This Row],[Type]]="DEBIT"),GJ[[#This Row],[Amount]],0),0)</f>
        <v>0</v>
      </c>
      <c r="F42" s="15">
        <f>IF(ROW()&lt;&gt;6,IF(AND(GJ[[#This Row],[Date]]&gt;=startDate,GJ[[#This Row],[Date]]&lt;=endDate,GJ[[#This Row],[Acc Number]]=accountCode,GJ[[#This Row],[Type]]="CREDIT"),GJ[[#This Row],[Amount]],0),0)</f>
        <v>0</v>
      </c>
      <c r="G42" s="15">
        <f ca="1">IF(normalBalance="D",IF(ROW()=6,SUMIFS(GJ[Actual Amount],GJ[Acc Number],accountCode,GJ[Date],"&lt;"&amp;startDate),OFFSET(LA[[#This Row],[Balance]],-1,0)+LA[[#This Row],[Debit]]-LA[[#This Row],[Credit]]),IF(ROW()=6,-SUMIFS(GJ[Actual Amount],GJ[Acc Number],accountCode,GJ[Date],"&lt;"&amp;startDate),OFFSET(LA[[#This Row],[Balance]],-1,0)-LA[[#This Row],[Debit]]+LA[[#This Row],[Credit]]))</f>
        <v>-11500000</v>
      </c>
      <c r="H42" t="str">
        <f>IF(ROW()=6,"OK",IF(AND(GJ[[#This Row],[Acc Number]]=accountCode,GJ[[#This Row],[Date]]&gt;=startDate,GJ[[#This Row],[Date]]&lt;=endDate),"OK",""))</f>
        <v/>
      </c>
    </row>
    <row r="43" spans="2:8" x14ac:dyDescent="0.25">
      <c r="B43" t="s">
        <v>133</v>
      </c>
      <c r="E43" s="63">
        <f>SUBTOTAL(109,LA[Debit])</f>
        <v>154000000</v>
      </c>
      <c r="F43" s="63">
        <f>SUBTOTAL(109,LA[Credit])</f>
        <v>181500000</v>
      </c>
      <c r="G43" s="63">
        <f ca="1">OFFSET(LA[[#Totals],[Balance]],-1,0)</f>
        <v>-11500000</v>
      </c>
      <c r="H43">
        <f>SUBTOTAL(103,LA[Filter])</f>
        <v>7</v>
      </c>
    </row>
  </sheetData>
  <mergeCells count="1">
    <mergeCell ref="B3:D4"/>
  </mergeCells>
  <dataValidations count="1">
    <dataValidation type="list" allowBlank="1" showInputMessage="1" showErrorMessage="1" sqref="G4" xr:uid="{00000000-0002-0000-0600-000000000000}">
      <formula1>AccNumber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E16"/>
  <sheetViews>
    <sheetView showGridLines="0" workbookViewId="0">
      <selection activeCell="B16" sqref="B16"/>
    </sheetView>
  </sheetViews>
  <sheetFormatPr defaultRowHeight="15" x14ac:dyDescent="0.25"/>
  <cols>
    <col min="1" max="1" width="0.42578125" customWidth="1"/>
    <col min="2" max="2" width="63.42578125" customWidth="1"/>
    <col min="3" max="3" width="13.85546875" style="2" customWidth="1"/>
    <col min="4" max="5" width="13.7109375" customWidth="1"/>
  </cols>
  <sheetData>
    <row r="1" spans="2:5" ht="23.25" x14ac:dyDescent="0.35">
      <c r="B1" s="5" t="str">
        <f>setNamaPerusahaan</f>
        <v>OcingAccConsult</v>
      </c>
    </row>
    <row r="2" spans="2:5" x14ac:dyDescent="0.25">
      <c r="B2" s="20" t="str">
        <f>setAlamatPerusahaan</f>
        <v>Jl, abc1234, Jakarta</v>
      </c>
    </row>
    <row r="3" spans="2:5" x14ac:dyDescent="0.25">
      <c r="B3" s="20" t="s">
        <v>163</v>
      </c>
    </row>
    <row r="4" spans="2:5" ht="5.25" customHeight="1" x14ac:dyDescent="0.25"/>
    <row r="5" spans="2:5" x14ac:dyDescent="0.25">
      <c r="B5" s="16" t="s">
        <v>9</v>
      </c>
      <c r="C5" s="16" t="s">
        <v>179</v>
      </c>
    </row>
    <row r="6" spans="2:5" x14ac:dyDescent="0.25">
      <c r="B6" s="16" t="s">
        <v>160</v>
      </c>
      <c r="C6" t="s">
        <v>181</v>
      </c>
      <c r="D6" t="s">
        <v>180</v>
      </c>
      <c r="E6" t="s">
        <v>161</v>
      </c>
    </row>
    <row r="7" spans="2:5" x14ac:dyDescent="0.25">
      <c r="B7" s="17" t="s">
        <v>8</v>
      </c>
      <c r="D7" s="2"/>
      <c r="E7" s="2"/>
    </row>
    <row r="8" spans="2:5" x14ac:dyDescent="0.25">
      <c r="B8" s="18" t="s">
        <v>22</v>
      </c>
      <c r="D8" s="2"/>
      <c r="E8" s="2"/>
    </row>
    <row r="9" spans="2:5" x14ac:dyDescent="0.25">
      <c r="B9" s="19" t="s">
        <v>53</v>
      </c>
      <c r="C9" s="2">
        <v>51500000</v>
      </c>
      <c r="D9" s="2"/>
      <c r="E9" s="2">
        <v>51500000</v>
      </c>
    </row>
    <row r="10" spans="2:5" x14ac:dyDescent="0.25">
      <c r="B10" s="17" t="s">
        <v>10</v>
      </c>
      <c r="D10" s="2"/>
      <c r="E10" s="2"/>
    </row>
    <row r="11" spans="2:5" x14ac:dyDescent="0.25">
      <c r="B11" s="18" t="s">
        <v>23</v>
      </c>
      <c r="D11" s="2"/>
      <c r="E11" s="2"/>
    </row>
    <row r="12" spans="2:5" x14ac:dyDescent="0.25">
      <c r="B12" s="19" t="s">
        <v>55</v>
      </c>
      <c r="C12" s="2">
        <v>-2500000</v>
      </c>
      <c r="D12" s="2">
        <v>-3000000</v>
      </c>
      <c r="E12" s="2">
        <v>-5500000</v>
      </c>
    </row>
    <row r="13" spans="2:5" x14ac:dyDescent="0.25">
      <c r="B13" s="19" t="s">
        <v>57</v>
      </c>
      <c r="C13" s="2">
        <v>-12000000</v>
      </c>
      <c r="D13" s="2">
        <v>-11200000</v>
      </c>
      <c r="E13" s="2">
        <v>-23200000</v>
      </c>
    </row>
    <row r="14" spans="2:5" x14ac:dyDescent="0.25">
      <c r="B14" s="19" t="s">
        <v>60</v>
      </c>
      <c r="C14" s="2">
        <v>-1420000</v>
      </c>
      <c r="D14" s="2"/>
      <c r="E14" s="2">
        <v>-1420000</v>
      </c>
    </row>
    <row r="15" spans="2:5" x14ac:dyDescent="0.25">
      <c r="B15" s="19" t="s">
        <v>64</v>
      </c>
      <c r="C15" s="2">
        <v>-250000</v>
      </c>
      <c r="D15" s="2"/>
      <c r="E15" s="2">
        <v>-250000</v>
      </c>
    </row>
    <row r="16" spans="2:5" x14ac:dyDescent="0.25">
      <c r="B16" s="17" t="s">
        <v>161</v>
      </c>
      <c r="C16" s="2">
        <v>35330000</v>
      </c>
      <c r="D16" s="2">
        <v>-14200000</v>
      </c>
      <c r="E16" s="2">
        <v>21130000</v>
      </c>
    </row>
  </sheetData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22"/>
  <sheetViews>
    <sheetView showGridLines="0" showRowColHeaders="0" workbookViewId="0">
      <selection activeCell="D17" sqref="D17"/>
    </sheetView>
  </sheetViews>
  <sheetFormatPr defaultRowHeight="15" x14ac:dyDescent="0.25"/>
  <cols>
    <col min="1" max="1" width="0.5703125" customWidth="1"/>
    <col min="2" max="2" width="66.5703125" customWidth="1"/>
    <col min="3" max="3" width="13.5703125" style="2" customWidth="1"/>
    <col min="4" max="5" width="12.85546875" customWidth="1"/>
  </cols>
  <sheetData>
    <row r="1" spans="2:5" ht="23.25" x14ac:dyDescent="0.35">
      <c r="B1" s="5" t="str">
        <f>setNamaPerusahaan</f>
        <v>OcingAccConsult</v>
      </c>
    </row>
    <row r="2" spans="2:5" x14ac:dyDescent="0.25">
      <c r="B2" s="20" t="str">
        <f>setAlamatPerusahaan</f>
        <v>Jl, abc1234, Jakarta</v>
      </c>
    </row>
    <row r="3" spans="2:5" x14ac:dyDescent="0.25">
      <c r="B3" s="20" t="s">
        <v>162</v>
      </c>
    </row>
    <row r="4" spans="2:5" ht="5.25" customHeight="1" x14ac:dyDescent="0.25"/>
    <row r="5" spans="2:5" x14ac:dyDescent="0.25">
      <c r="B5" s="16" t="s">
        <v>5</v>
      </c>
      <c r="C5" s="16" t="s">
        <v>179</v>
      </c>
    </row>
    <row r="6" spans="2:5" x14ac:dyDescent="0.25">
      <c r="B6" s="16" t="s">
        <v>160</v>
      </c>
      <c r="C6" t="s">
        <v>181</v>
      </c>
      <c r="D6" t="s">
        <v>180</v>
      </c>
      <c r="E6" t="s">
        <v>154</v>
      </c>
    </row>
    <row r="7" spans="2:5" x14ac:dyDescent="0.25">
      <c r="B7" s="17" t="s">
        <v>4</v>
      </c>
      <c r="D7" s="2"/>
      <c r="E7" s="2"/>
    </row>
    <row r="8" spans="2:5" x14ac:dyDescent="0.25">
      <c r="B8" s="18" t="s">
        <v>16</v>
      </c>
      <c r="D8" s="2"/>
      <c r="E8" s="2"/>
    </row>
    <row r="9" spans="2:5" x14ac:dyDescent="0.25">
      <c r="B9" s="19" t="s">
        <v>31</v>
      </c>
      <c r="C9" s="2">
        <v>1330000</v>
      </c>
      <c r="D9" s="2"/>
      <c r="E9" s="2">
        <v>1330000</v>
      </c>
    </row>
    <row r="10" spans="2:5" x14ac:dyDescent="0.25">
      <c r="B10" s="19" t="s">
        <v>32</v>
      </c>
      <c r="C10" s="2">
        <v>-11500000</v>
      </c>
      <c r="D10" s="2">
        <v>-14200000</v>
      </c>
      <c r="E10" s="2">
        <v>-25700000</v>
      </c>
    </row>
    <row r="11" spans="2:5" x14ac:dyDescent="0.25">
      <c r="B11" s="19" t="s">
        <v>33</v>
      </c>
      <c r="C11" s="2">
        <v>8500000</v>
      </c>
      <c r="D11" s="2"/>
      <c r="E11" s="2">
        <v>8500000</v>
      </c>
    </row>
    <row r="12" spans="2:5" x14ac:dyDescent="0.25">
      <c r="B12" s="18" t="s">
        <v>17</v>
      </c>
      <c r="D12" s="2"/>
      <c r="E12" s="2"/>
    </row>
    <row r="13" spans="2:5" x14ac:dyDescent="0.25">
      <c r="B13" s="19" t="s">
        <v>150</v>
      </c>
      <c r="C13" s="2">
        <v>167000000</v>
      </c>
      <c r="D13" s="2"/>
      <c r="E13" s="2">
        <v>167000000</v>
      </c>
    </row>
    <row r="14" spans="2:5" x14ac:dyDescent="0.25">
      <c r="B14" s="17" t="s">
        <v>6</v>
      </c>
      <c r="D14" s="2"/>
      <c r="E14" s="2"/>
    </row>
    <row r="15" spans="2:5" x14ac:dyDescent="0.25">
      <c r="B15" s="18" t="s">
        <v>19</v>
      </c>
      <c r="D15" s="2"/>
      <c r="E15" s="2"/>
    </row>
    <row r="16" spans="2:5" x14ac:dyDescent="0.25">
      <c r="B16" s="19" t="s">
        <v>47</v>
      </c>
      <c r="C16" s="2">
        <v>-80000000</v>
      </c>
      <c r="D16" s="2"/>
      <c r="E16" s="2">
        <v>-80000000</v>
      </c>
    </row>
    <row r="17" spans="2:5" x14ac:dyDescent="0.25">
      <c r="B17" s="17" t="s">
        <v>7</v>
      </c>
      <c r="D17" s="2"/>
      <c r="E17" s="2"/>
    </row>
    <row r="18" spans="2:5" x14ac:dyDescent="0.25">
      <c r="B18" s="18" t="s">
        <v>21</v>
      </c>
      <c r="D18" s="2"/>
      <c r="E18" s="2"/>
    </row>
    <row r="19" spans="2:5" x14ac:dyDescent="0.25">
      <c r="B19" s="19" t="s">
        <v>49</v>
      </c>
      <c r="C19" s="2">
        <v>0</v>
      </c>
      <c r="D19" s="2"/>
      <c r="E19" s="2">
        <v>0</v>
      </c>
    </row>
    <row r="20" spans="2:5" x14ac:dyDescent="0.25">
      <c r="B20" s="19" t="s">
        <v>50</v>
      </c>
      <c r="C20" s="2">
        <v>-50000000</v>
      </c>
      <c r="D20" s="2"/>
      <c r="E20" s="2">
        <v>-50000000</v>
      </c>
    </row>
    <row r="21" spans="2:5" x14ac:dyDescent="0.25">
      <c r="B21" s="19" t="s">
        <v>52</v>
      </c>
      <c r="C21" s="2">
        <v>-35330000</v>
      </c>
      <c r="D21" s="2">
        <v>14200000</v>
      </c>
      <c r="E21" s="2">
        <v>-21130000</v>
      </c>
    </row>
    <row r="22" spans="2:5" x14ac:dyDescent="0.25">
      <c r="B22" s="17" t="s">
        <v>154</v>
      </c>
      <c r="C22" s="2">
        <v>0</v>
      </c>
      <c r="D22" s="2">
        <v>0</v>
      </c>
      <c r="E22" s="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E19"/>
  <sheetViews>
    <sheetView showGridLines="0" showRowColHeaders="0" workbookViewId="0">
      <selection activeCell="B14" sqref="B14"/>
    </sheetView>
  </sheetViews>
  <sheetFormatPr defaultRowHeight="15" x14ac:dyDescent="0.25"/>
  <cols>
    <col min="1" max="1" width="0.5703125" customWidth="1"/>
    <col min="2" max="2" width="51.42578125" customWidth="1"/>
    <col min="3" max="3" width="13.7109375" style="2" bestFit="1" customWidth="1"/>
    <col min="4" max="4" width="11.140625" bestFit="1" customWidth="1"/>
    <col min="5" max="5" width="14.140625" bestFit="1" customWidth="1"/>
  </cols>
  <sheetData>
    <row r="1" spans="2:5" ht="23.25" x14ac:dyDescent="0.35">
      <c r="B1" s="5" t="str">
        <f>setNamaPerusahaan</f>
        <v>OcingAccConsult</v>
      </c>
    </row>
    <row r="2" spans="2:5" x14ac:dyDescent="0.25">
      <c r="B2" s="20" t="str">
        <f>setAlamatPerusahaan</f>
        <v>Jl, abc1234, Jakarta</v>
      </c>
    </row>
    <row r="3" spans="2:5" x14ac:dyDescent="0.25">
      <c r="B3" t="s">
        <v>189</v>
      </c>
    </row>
    <row r="4" spans="2:5" ht="6" customHeight="1" x14ac:dyDescent="0.25"/>
    <row r="5" spans="2:5" x14ac:dyDescent="0.25">
      <c r="B5" s="16" t="s">
        <v>188</v>
      </c>
      <c r="C5" s="16" t="s">
        <v>179</v>
      </c>
    </row>
    <row r="6" spans="2:5" s="3" customFormat="1" ht="22.5" x14ac:dyDescent="0.25">
      <c r="B6" s="47" t="s">
        <v>160</v>
      </c>
      <c r="C6" s="3" t="s">
        <v>181</v>
      </c>
      <c r="D6" s="3" t="s">
        <v>180</v>
      </c>
      <c r="E6" s="48" t="s">
        <v>190</v>
      </c>
    </row>
    <row r="7" spans="2:5" x14ac:dyDescent="0.25">
      <c r="B7" s="17" t="s">
        <v>106</v>
      </c>
      <c r="C7" s="2">
        <v>130000000</v>
      </c>
      <c r="D7" s="2"/>
      <c r="E7" s="2">
        <v>130000000</v>
      </c>
    </row>
    <row r="8" spans="2:5" x14ac:dyDescent="0.25">
      <c r="B8" s="18" t="s">
        <v>111</v>
      </c>
      <c r="C8" s="2">
        <v>80000000</v>
      </c>
      <c r="D8" s="2"/>
      <c r="E8" s="2">
        <v>80000000</v>
      </c>
    </row>
    <row r="9" spans="2:5" x14ac:dyDescent="0.25">
      <c r="B9" s="18" t="s">
        <v>156</v>
      </c>
      <c r="C9" s="2">
        <v>0</v>
      </c>
      <c r="D9" s="2"/>
      <c r="E9" s="2">
        <v>0</v>
      </c>
    </row>
    <row r="10" spans="2:5" x14ac:dyDescent="0.25">
      <c r="B10" s="18" t="s">
        <v>108</v>
      </c>
      <c r="C10" s="2">
        <v>50000000</v>
      </c>
      <c r="D10" s="2"/>
      <c r="E10" s="2">
        <v>50000000</v>
      </c>
    </row>
    <row r="11" spans="2:5" x14ac:dyDescent="0.25">
      <c r="B11" s="17" t="s">
        <v>91</v>
      </c>
      <c r="C11" s="2">
        <v>-167000000</v>
      </c>
      <c r="D11" s="2"/>
      <c r="E11" s="2">
        <v>-167000000</v>
      </c>
    </row>
    <row r="12" spans="2:5" x14ac:dyDescent="0.25">
      <c r="B12" s="18" t="s">
        <v>102</v>
      </c>
      <c r="C12" s="2">
        <v>-167000000</v>
      </c>
      <c r="D12" s="2"/>
      <c r="E12" s="2">
        <v>-167000000</v>
      </c>
    </row>
    <row r="13" spans="2:5" x14ac:dyDescent="0.25">
      <c r="B13" s="17" t="s">
        <v>82</v>
      </c>
      <c r="C13" s="2">
        <v>26830000</v>
      </c>
      <c r="D13" s="2">
        <v>-14200000</v>
      </c>
      <c r="E13" s="2">
        <v>12630000</v>
      </c>
    </row>
    <row r="14" spans="2:5" x14ac:dyDescent="0.25">
      <c r="B14" s="18" t="s">
        <v>84</v>
      </c>
      <c r="C14" s="2">
        <v>43000000</v>
      </c>
      <c r="D14" s="2"/>
      <c r="E14" s="2">
        <v>43000000</v>
      </c>
    </row>
    <row r="15" spans="2:5" x14ac:dyDescent="0.25">
      <c r="B15" s="18" t="s">
        <v>95</v>
      </c>
      <c r="C15" s="2">
        <v>-12000000</v>
      </c>
      <c r="D15" s="2">
        <v>-11200000</v>
      </c>
      <c r="E15" s="2">
        <v>-23200000</v>
      </c>
    </row>
    <row r="16" spans="2:5" x14ac:dyDescent="0.25">
      <c r="B16" s="18" t="s">
        <v>159</v>
      </c>
      <c r="C16" s="2">
        <v>-4170000</v>
      </c>
      <c r="D16" s="2">
        <v>-3000000</v>
      </c>
      <c r="E16" s="2">
        <v>-7170000</v>
      </c>
    </row>
    <row r="17" spans="2:5" x14ac:dyDescent="0.25">
      <c r="B17" s="17" t="s">
        <v>190</v>
      </c>
      <c r="C17" s="2">
        <v>-10170000</v>
      </c>
      <c r="D17" s="2">
        <v>-14200000</v>
      </c>
      <c r="E17" s="2">
        <v>-24370000</v>
      </c>
    </row>
    <row r="18" spans="2:5" x14ac:dyDescent="0.25">
      <c r="C18"/>
    </row>
    <row r="19" spans="2:5" x14ac:dyDescent="0.25">
      <c r="C19"/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E15"/>
  <sheetViews>
    <sheetView showGridLines="0" workbookViewId="0">
      <selection activeCell="C15" sqref="C15"/>
    </sheetView>
  </sheetViews>
  <sheetFormatPr defaultRowHeight="15" x14ac:dyDescent="0.25"/>
  <cols>
    <col min="1" max="1" width="1.28515625" customWidth="1"/>
    <col min="2" max="2" width="35.7109375" customWidth="1"/>
    <col min="3" max="5" width="14.42578125" style="15" bestFit="1" customWidth="1"/>
  </cols>
  <sheetData>
    <row r="1" spans="2:5" ht="23.25" x14ac:dyDescent="0.35">
      <c r="B1" s="5" t="str">
        <f>setNamaPerusahaan</f>
        <v>OcingAccConsult</v>
      </c>
    </row>
    <row r="2" spans="2:5" x14ac:dyDescent="0.25">
      <c r="B2" s="20" t="str">
        <f>setAlamatPerusahaan</f>
        <v>Jl, abc1234, Jakarta</v>
      </c>
    </row>
    <row r="3" spans="2:5" x14ac:dyDescent="0.25">
      <c r="B3" t="s">
        <v>187</v>
      </c>
    </row>
    <row r="4" spans="2:5" ht="4.5" customHeight="1" x14ac:dyDescent="0.25"/>
    <row r="5" spans="2:5" x14ac:dyDescent="0.25">
      <c r="B5" s="41" t="s">
        <v>185</v>
      </c>
      <c r="C5" s="42" t="s">
        <v>181</v>
      </c>
      <c r="D5" s="42" t="s">
        <v>180</v>
      </c>
    </row>
    <row r="6" spans="2:5" x14ac:dyDescent="0.25">
      <c r="B6" s="32" t="s">
        <v>184</v>
      </c>
      <c r="C6" s="33">
        <f>IF(C5="Jan",SUMIF($B:$B,"Modal",C:C),B12)</f>
        <v>0</v>
      </c>
      <c r="D6" s="33">
        <f>IF(D5="Jan",SUMIF($B:$B,"Modal",D:D),C12)</f>
        <v>85330000</v>
      </c>
    </row>
    <row r="7" spans="2:5" hidden="1" x14ac:dyDescent="0.25">
      <c r="B7" s="38" t="s">
        <v>183</v>
      </c>
      <c r="C7" s="39" t="s">
        <v>179</v>
      </c>
      <c r="D7" s="40"/>
      <c r="E7"/>
    </row>
    <row r="8" spans="2:5" hidden="1" x14ac:dyDescent="0.25">
      <c r="B8" s="38" t="s">
        <v>160</v>
      </c>
      <c r="C8" s="40" t="s">
        <v>181</v>
      </c>
      <c r="D8" s="40" t="s">
        <v>180</v>
      </c>
      <c r="E8"/>
    </row>
    <row r="9" spans="2:5" hidden="1" x14ac:dyDescent="0.25">
      <c r="B9" s="37" t="s">
        <v>49</v>
      </c>
      <c r="C9" s="36">
        <v>0</v>
      </c>
      <c r="D9" s="36"/>
      <c r="E9"/>
    </row>
    <row r="10" spans="2:5" x14ac:dyDescent="0.25">
      <c r="B10" s="35" t="s">
        <v>50</v>
      </c>
      <c r="C10" s="34">
        <v>50000000</v>
      </c>
      <c r="D10" s="34"/>
      <c r="E10"/>
    </row>
    <row r="11" spans="2:5" x14ac:dyDescent="0.25">
      <c r="B11" s="45" t="s">
        <v>52</v>
      </c>
      <c r="C11" s="46">
        <v>35330000</v>
      </c>
      <c r="D11" s="46">
        <v>-14200000</v>
      </c>
      <c r="E11"/>
    </row>
    <row r="12" spans="2:5" x14ac:dyDescent="0.25">
      <c r="B12" s="43" t="s">
        <v>186</v>
      </c>
      <c r="C12" s="44">
        <f>SUBTOTAL(109,C6:C11)</f>
        <v>85330000</v>
      </c>
      <c r="D12" s="44">
        <f>SUBTOTAL(109,D6:D11)</f>
        <v>71130000</v>
      </c>
      <c r="E12"/>
    </row>
    <row r="15" spans="2:5" x14ac:dyDescent="0.25">
      <c r="B15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366"/>
  <sheetViews>
    <sheetView topLeftCell="A6" workbookViewId="0">
      <selection activeCell="E25" sqref="E25"/>
    </sheetView>
  </sheetViews>
  <sheetFormatPr defaultRowHeight="15" x14ac:dyDescent="0.25"/>
  <cols>
    <col min="1" max="1" width="9.7109375" customWidth="1"/>
    <col min="2" max="2" width="16.7109375" customWidth="1"/>
    <col min="5" max="5" width="17.85546875" customWidth="1"/>
  </cols>
  <sheetData>
    <row r="1" spans="1:8" x14ac:dyDescent="0.25">
      <c r="A1" t="s">
        <v>174</v>
      </c>
      <c r="B1" t="s">
        <v>175</v>
      </c>
      <c r="C1" t="s">
        <v>176</v>
      </c>
      <c r="D1" t="s">
        <v>177</v>
      </c>
      <c r="E1" t="s">
        <v>178</v>
      </c>
    </row>
    <row r="2" spans="1:8" x14ac:dyDescent="0.25">
      <c r="A2" s="29">
        <v>43466</v>
      </c>
      <c r="B2">
        <f>VALUE(TEXT(Date[[#This Row],[DATE]],"M"))</f>
        <v>1</v>
      </c>
      <c r="C2" t="str">
        <f>TEXT(Date[[#This Row],[DATE]],"MMM")</f>
        <v>Jan</v>
      </c>
      <c r="D2">
        <f>VALUE(TEXT(Date[[#This Row],[DATE]],"YYYY"))</f>
        <v>2019</v>
      </c>
      <c r="E2">
        <f>Date[[#This Row],[YEAR]]+(Date[[#This Row],[MONTH_NUMBER]]/100)</f>
        <v>2019.01</v>
      </c>
      <c r="H2" s="14"/>
    </row>
    <row r="3" spans="1:8" x14ac:dyDescent="0.25">
      <c r="A3" s="29">
        <v>43467</v>
      </c>
      <c r="B3">
        <f>VALUE(TEXT(Date[[#This Row],[DATE]],"M"))</f>
        <v>1</v>
      </c>
      <c r="C3" t="str">
        <f>TEXT(Date[[#This Row],[DATE]],"MMM")</f>
        <v>Jan</v>
      </c>
      <c r="D3">
        <f>VALUE(TEXT(Date[[#This Row],[DATE]],"YYYY"))</f>
        <v>2019</v>
      </c>
      <c r="E3">
        <f>Date[[#This Row],[YEAR]]+(Date[[#This Row],[MONTH_NUMBER]]/100)</f>
        <v>2019.01</v>
      </c>
    </row>
    <row r="4" spans="1:8" x14ac:dyDescent="0.25">
      <c r="A4" s="29">
        <v>43468</v>
      </c>
      <c r="B4">
        <f>VALUE(TEXT(Date[[#This Row],[DATE]],"M"))</f>
        <v>1</v>
      </c>
      <c r="C4" t="str">
        <f>TEXT(Date[[#This Row],[DATE]],"MMM")</f>
        <v>Jan</v>
      </c>
      <c r="D4">
        <f>VALUE(TEXT(Date[[#This Row],[DATE]],"YYYY"))</f>
        <v>2019</v>
      </c>
      <c r="E4">
        <f>Date[[#This Row],[YEAR]]+(Date[[#This Row],[MONTH_NUMBER]]/100)</f>
        <v>2019.01</v>
      </c>
    </row>
    <row r="5" spans="1:8" x14ac:dyDescent="0.25">
      <c r="A5" s="29">
        <v>43469</v>
      </c>
      <c r="B5">
        <f>VALUE(TEXT(Date[[#This Row],[DATE]],"M"))</f>
        <v>1</v>
      </c>
      <c r="C5" t="str">
        <f>TEXT(Date[[#This Row],[DATE]],"MMM")</f>
        <v>Jan</v>
      </c>
      <c r="D5">
        <f>VALUE(TEXT(Date[[#This Row],[DATE]],"YYYY"))</f>
        <v>2019</v>
      </c>
      <c r="E5">
        <f>Date[[#This Row],[YEAR]]+(Date[[#This Row],[MONTH_NUMBER]]/100)</f>
        <v>2019.01</v>
      </c>
    </row>
    <row r="6" spans="1:8" x14ac:dyDescent="0.25">
      <c r="A6" s="29">
        <v>43470</v>
      </c>
      <c r="B6">
        <f>VALUE(TEXT(Date[[#This Row],[DATE]],"M"))</f>
        <v>1</v>
      </c>
      <c r="C6" t="str">
        <f>TEXT(Date[[#This Row],[DATE]],"MMM")</f>
        <v>Jan</v>
      </c>
      <c r="D6">
        <f>VALUE(TEXT(Date[[#This Row],[DATE]],"YYYY"))</f>
        <v>2019</v>
      </c>
      <c r="E6">
        <f>Date[[#This Row],[YEAR]]+(Date[[#This Row],[MONTH_NUMBER]]/100)</f>
        <v>2019.01</v>
      </c>
    </row>
    <row r="7" spans="1:8" x14ac:dyDescent="0.25">
      <c r="A7" s="29">
        <v>43471</v>
      </c>
      <c r="B7">
        <f>VALUE(TEXT(Date[[#This Row],[DATE]],"M"))</f>
        <v>1</v>
      </c>
      <c r="C7" t="str">
        <f>TEXT(Date[[#This Row],[DATE]],"MMM")</f>
        <v>Jan</v>
      </c>
      <c r="D7">
        <f>VALUE(TEXT(Date[[#This Row],[DATE]],"YYYY"))</f>
        <v>2019</v>
      </c>
      <c r="E7">
        <f>Date[[#This Row],[YEAR]]+(Date[[#This Row],[MONTH_NUMBER]]/100)</f>
        <v>2019.01</v>
      </c>
    </row>
    <row r="8" spans="1:8" x14ac:dyDescent="0.25">
      <c r="A8" s="29">
        <v>43472</v>
      </c>
      <c r="B8">
        <f>VALUE(TEXT(Date[[#This Row],[DATE]],"M"))</f>
        <v>1</v>
      </c>
      <c r="C8" t="str">
        <f>TEXT(Date[[#This Row],[DATE]],"MMM")</f>
        <v>Jan</v>
      </c>
      <c r="D8">
        <f>VALUE(TEXT(Date[[#This Row],[DATE]],"YYYY"))</f>
        <v>2019</v>
      </c>
      <c r="E8">
        <f>Date[[#This Row],[YEAR]]+(Date[[#This Row],[MONTH_NUMBER]]/100)</f>
        <v>2019.01</v>
      </c>
    </row>
    <row r="9" spans="1:8" x14ac:dyDescent="0.25">
      <c r="A9" s="29">
        <v>43473</v>
      </c>
      <c r="B9">
        <f>VALUE(TEXT(Date[[#This Row],[DATE]],"M"))</f>
        <v>1</v>
      </c>
      <c r="C9" t="str">
        <f>TEXT(Date[[#This Row],[DATE]],"MMM")</f>
        <v>Jan</v>
      </c>
      <c r="D9">
        <f>VALUE(TEXT(Date[[#This Row],[DATE]],"YYYY"))</f>
        <v>2019</v>
      </c>
      <c r="E9">
        <f>Date[[#This Row],[YEAR]]+(Date[[#This Row],[MONTH_NUMBER]]/100)</f>
        <v>2019.01</v>
      </c>
    </row>
    <row r="10" spans="1:8" x14ac:dyDescent="0.25">
      <c r="A10" s="29">
        <v>43474</v>
      </c>
      <c r="B10">
        <f>VALUE(TEXT(Date[[#This Row],[DATE]],"M"))</f>
        <v>1</v>
      </c>
      <c r="C10" t="str">
        <f>TEXT(Date[[#This Row],[DATE]],"MMM")</f>
        <v>Jan</v>
      </c>
      <c r="D10">
        <f>VALUE(TEXT(Date[[#This Row],[DATE]],"YYYY"))</f>
        <v>2019</v>
      </c>
      <c r="E10">
        <f>Date[[#This Row],[YEAR]]+(Date[[#This Row],[MONTH_NUMBER]]/100)</f>
        <v>2019.01</v>
      </c>
    </row>
    <row r="11" spans="1:8" x14ac:dyDescent="0.25">
      <c r="A11" s="29">
        <v>43475</v>
      </c>
      <c r="B11">
        <f>VALUE(TEXT(Date[[#This Row],[DATE]],"M"))</f>
        <v>1</v>
      </c>
      <c r="C11" t="str">
        <f>TEXT(Date[[#This Row],[DATE]],"MMM")</f>
        <v>Jan</v>
      </c>
      <c r="D11">
        <f>VALUE(TEXT(Date[[#This Row],[DATE]],"YYYY"))</f>
        <v>2019</v>
      </c>
      <c r="E11">
        <f>Date[[#This Row],[YEAR]]+(Date[[#This Row],[MONTH_NUMBER]]/100)</f>
        <v>2019.01</v>
      </c>
    </row>
    <row r="12" spans="1:8" x14ac:dyDescent="0.25">
      <c r="A12" s="29">
        <v>43476</v>
      </c>
      <c r="B12">
        <f>VALUE(TEXT(Date[[#This Row],[DATE]],"M"))</f>
        <v>1</v>
      </c>
      <c r="C12" t="str">
        <f>TEXT(Date[[#This Row],[DATE]],"MMM")</f>
        <v>Jan</v>
      </c>
      <c r="D12">
        <f>VALUE(TEXT(Date[[#This Row],[DATE]],"YYYY"))</f>
        <v>2019</v>
      </c>
      <c r="E12">
        <f>Date[[#This Row],[YEAR]]+(Date[[#This Row],[MONTH_NUMBER]]/100)</f>
        <v>2019.01</v>
      </c>
    </row>
    <row r="13" spans="1:8" x14ac:dyDescent="0.25">
      <c r="A13" s="29">
        <v>43477</v>
      </c>
      <c r="B13">
        <f>VALUE(TEXT(Date[[#This Row],[DATE]],"M"))</f>
        <v>1</v>
      </c>
      <c r="C13" t="str">
        <f>TEXT(Date[[#This Row],[DATE]],"MMM")</f>
        <v>Jan</v>
      </c>
      <c r="D13">
        <f>VALUE(TEXT(Date[[#This Row],[DATE]],"YYYY"))</f>
        <v>2019</v>
      </c>
      <c r="E13">
        <f>Date[[#This Row],[YEAR]]+(Date[[#This Row],[MONTH_NUMBER]]/100)</f>
        <v>2019.01</v>
      </c>
    </row>
    <row r="14" spans="1:8" x14ac:dyDescent="0.25">
      <c r="A14" s="29">
        <v>43478</v>
      </c>
      <c r="B14">
        <f>VALUE(TEXT(Date[[#This Row],[DATE]],"M"))</f>
        <v>1</v>
      </c>
      <c r="C14" t="str">
        <f>TEXT(Date[[#This Row],[DATE]],"MMM")</f>
        <v>Jan</v>
      </c>
      <c r="D14">
        <f>VALUE(TEXT(Date[[#This Row],[DATE]],"YYYY"))</f>
        <v>2019</v>
      </c>
      <c r="E14">
        <f>Date[[#This Row],[YEAR]]+(Date[[#This Row],[MONTH_NUMBER]]/100)</f>
        <v>2019.01</v>
      </c>
    </row>
    <row r="15" spans="1:8" x14ac:dyDescent="0.25">
      <c r="A15" s="29">
        <v>43479</v>
      </c>
      <c r="B15">
        <f>VALUE(TEXT(Date[[#This Row],[DATE]],"M"))</f>
        <v>1</v>
      </c>
      <c r="C15" t="str">
        <f>TEXT(Date[[#This Row],[DATE]],"MMM")</f>
        <v>Jan</v>
      </c>
      <c r="D15">
        <f>VALUE(TEXT(Date[[#This Row],[DATE]],"YYYY"))</f>
        <v>2019</v>
      </c>
      <c r="E15">
        <f>Date[[#This Row],[YEAR]]+(Date[[#This Row],[MONTH_NUMBER]]/100)</f>
        <v>2019.01</v>
      </c>
    </row>
    <row r="16" spans="1:8" x14ac:dyDescent="0.25">
      <c r="A16" s="29">
        <v>43480</v>
      </c>
      <c r="B16">
        <f>VALUE(TEXT(Date[[#This Row],[DATE]],"M"))</f>
        <v>1</v>
      </c>
      <c r="C16" t="str">
        <f>TEXT(Date[[#This Row],[DATE]],"MMM")</f>
        <v>Jan</v>
      </c>
      <c r="D16">
        <f>VALUE(TEXT(Date[[#This Row],[DATE]],"YYYY"))</f>
        <v>2019</v>
      </c>
      <c r="E16">
        <f>Date[[#This Row],[YEAR]]+(Date[[#This Row],[MONTH_NUMBER]]/100)</f>
        <v>2019.01</v>
      </c>
    </row>
    <row r="17" spans="1:5" x14ac:dyDescent="0.25">
      <c r="A17" s="29">
        <v>43481</v>
      </c>
      <c r="B17">
        <f>VALUE(TEXT(Date[[#This Row],[DATE]],"M"))</f>
        <v>1</v>
      </c>
      <c r="C17" t="str">
        <f>TEXT(Date[[#This Row],[DATE]],"MMM")</f>
        <v>Jan</v>
      </c>
      <c r="D17">
        <f>VALUE(TEXT(Date[[#This Row],[DATE]],"YYYY"))</f>
        <v>2019</v>
      </c>
      <c r="E17">
        <f>Date[[#This Row],[YEAR]]+(Date[[#This Row],[MONTH_NUMBER]]/100)</f>
        <v>2019.01</v>
      </c>
    </row>
    <row r="18" spans="1:5" x14ac:dyDescent="0.25">
      <c r="A18" s="29">
        <v>43482</v>
      </c>
      <c r="B18">
        <f>VALUE(TEXT(Date[[#This Row],[DATE]],"M"))</f>
        <v>1</v>
      </c>
      <c r="C18" t="str">
        <f>TEXT(Date[[#This Row],[DATE]],"MMM")</f>
        <v>Jan</v>
      </c>
      <c r="D18">
        <f>VALUE(TEXT(Date[[#This Row],[DATE]],"YYYY"))</f>
        <v>2019</v>
      </c>
      <c r="E18">
        <f>Date[[#This Row],[YEAR]]+(Date[[#This Row],[MONTH_NUMBER]]/100)</f>
        <v>2019.01</v>
      </c>
    </row>
    <row r="19" spans="1:5" x14ac:dyDescent="0.25">
      <c r="A19" s="29">
        <v>43483</v>
      </c>
      <c r="B19">
        <f>VALUE(TEXT(Date[[#This Row],[DATE]],"M"))</f>
        <v>1</v>
      </c>
      <c r="C19" t="str">
        <f>TEXT(Date[[#This Row],[DATE]],"MMM")</f>
        <v>Jan</v>
      </c>
      <c r="D19">
        <f>VALUE(TEXT(Date[[#This Row],[DATE]],"YYYY"))</f>
        <v>2019</v>
      </c>
      <c r="E19">
        <f>Date[[#This Row],[YEAR]]+(Date[[#This Row],[MONTH_NUMBER]]/100)</f>
        <v>2019.01</v>
      </c>
    </row>
    <row r="20" spans="1:5" x14ac:dyDescent="0.25">
      <c r="A20" s="29">
        <v>43484</v>
      </c>
      <c r="B20">
        <f>VALUE(TEXT(Date[[#This Row],[DATE]],"M"))</f>
        <v>1</v>
      </c>
      <c r="C20" t="str">
        <f>TEXT(Date[[#This Row],[DATE]],"MMM")</f>
        <v>Jan</v>
      </c>
      <c r="D20">
        <f>VALUE(TEXT(Date[[#This Row],[DATE]],"YYYY"))</f>
        <v>2019</v>
      </c>
      <c r="E20">
        <f>Date[[#This Row],[YEAR]]+(Date[[#This Row],[MONTH_NUMBER]]/100)</f>
        <v>2019.01</v>
      </c>
    </row>
    <row r="21" spans="1:5" x14ac:dyDescent="0.25">
      <c r="A21" s="29">
        <v>43485</v>
      </c>
      <c r="B21">
        <f>VALUE(TEXT(Date[[#This Row],[DATE]],"M"))</f>
        <v>1</v>
      </c>
      <c r="C21" t="str">
        <f>TEXT(Date[[#This Row],[DATE]],"MMM")</f>
        <v>Jan</v>
      </c>
      <c r="D21">
        <f>VALUE(TEXT(Date[[#This Row],[DATE]],"YYYY"))</f>
        <v>2019</v>
      </c>
      <c r="E21">
        <f>Date[[#This Row],[YEAR]]+(Date[[#This Row],[MONTH_NUMBER]]/100)</f>
        <v>2019.01</v>
      </c>
    </row>
    <row r="22" spans="1:5" x14ac:dyDescent="0.25">
      <c r="A22" s="29">
        <v>43486</v>
      </c>
      <c r="B22">
        <f>VALUE(TEXT(Date[[#This Row],[DATE]],"M"))</f>
        <v>1</v>
      </c>
      <c r="C22" t="str">
        <f>TEXT(Date[[#This Row],[DATE]],"MMM")</f>
        <v>Jan</v>
      </c>
      <c r="D22">
        <f>VALUE(TEXT(Date[[#This Row],[DATE]],"YYYY"))</f>
        <v>2019</v>
      </c>
      <c r="E22">
        <f>Date[[#This Row],[YEAR]]+(Date[[#This Row],[MONTH_NUMBER]]/100)</f>
        <v>2019.01</v>
      </c>
    </row>
    <row r="23" spans="1:5" x14ac:dyDescent="0.25">
      <c r="A23" s="29">
        <v>43487</v>
      </c>
      <c r="B23">
        <f>VALUE(TEXT(Date[[#This Row],[DATE]],"M"))</f>
        <v>1</v>
      </c>
      <c r="C23" t="str">
        <f>TEXT(Date[[#This Row],[DATE]],"MMM")</f>
        <v>Jan</v>
      </c>
      <c r="D23">
        <f>VALUE(TEXT(Date[[#This Row],[DATE]],"YYYY"))</f>
        <v>2019</v>
      </c>
      <c r="E23">
        <f>Date[[#This Row],[YEAR]]+(Date[[#This Row],[MONTH_NUMBER]]/100)</f>
        <v>2019.01</v>
      </c>
    </row>
    <row r="24" spans="1:5" x14ac:dyDescent="0.25">
      <c r="A24" s="29">
        <v>43488</v>
      </c>
      <c r="B24">
        <f>VALUE(TEXT(Date[[#This Row],[DATE]],"M"))</f>
        <v>1</v>
      </c>
      <c r="C24" t="str">
        <f>TEXT(Date[[#This Row],[DATE]],"MMM")</f>
        <v>Jan</v>
      </c>
      <c r="D24">
        <f>VALUE(TEXT(Date[[#This Row],[DATE]],"YYYY"))</f>
        <v>2019</v>
      </c>
      <c r="E24">
        <f>Date[[#This Row],[YEAR]]+(Date[[#This Row],[MONTH_NUMBER]]/100)</f>
        <v>2019.01</v>
      </c>
    </row>
    <row r="25" spans="1:5" x14ac:dyDescent="0.25">
      <c r="A25" s="29">
        <v>43489</v>
      </c>
      <c r="B25">
        <f>VALUE(TEXT(Date[[#This Row],[DATE]],"M"))</f>
        <v>1</v>
      </c>
      <c r="C25" t="str">
        <f>TEXT(Date[[#This Row],[DATE]],"MMM")</f>
        <v>Jan</v>
      </c>
      <c r="D25">
        <f>VALUE(TEXT(Date[[#This Row],[DATE]],"YYYY"))</f>
        <v>2019</v>
      </c>
      <c r="E25">
        <f>Date[[#This Row],[YEAR]]+(Date[[#This Row],[MONTH_NUMBER]]/100)</f>
        <v>2019.01</v>
      </c>
    </row>
    <row r="26" spans="1:5" x14ac:dyDescent="0.25">
      <c r="A26" s="29">
        <v>43490</v>
      </c>
      <c r="B26">
        <f>VALUE(TEXT(Date[[#This Row],[DATE]],"M"))</f>
        <v>1</v>
      </c>
      <c r="C26" t="str">
        <f>TEXT(Date[[#This Row],[DATE]],"MMM")</f>
        <v>Jan</v>
      </c>
      <c r="D26">
        <f>VALUE(TEXT(Date[[#This Row],[DATE]],"YYYY"))</f>
        <v>2019</v>
      </c>
      <c r="E26">
        <f>Date[[#This Row],[YEAR]]+(Date[[#This Row],[MONTH_NUMBER]]/100)</f>
        <v>2019.01</v>
      </c>
    </row>
    <row r="27" spans="1:5" x14ac:dyDescent="0.25">
      <c r="A27" s="29">
        <v>43491</v>
      </c>
      <c r="B27">
        <f>VALUE(TEXT(Date[[#This Row],[DATE]],"M"))</f>
        <v>1</v>
      </c>
      <c r="C27" t="str">
        <f>TEXT(Date[[#This Row],[DATE]],"MMM")</f>
        <v>Jan</v>
      </c>
      <c r="D27">
        <f>VALUE(TEXT(Date[[#This Row],[DATE]],"YYYY"))</f>
        <v>2019</v>
      </c>
      <c r="E27">
        <f>Date[[#This Row],[YEAR]]+(Date[[#This Row],[MONTH_NUMBER]]/100)</f>
        <v>2019.01</v>
      </c>
    </row>
    <row r="28" spans="1:5" x14ac:dyDescent="0.25">
      <c r="A28" s="29">
        <v>43492</v>
      </c>
      <c r="B28">
        <f>VALUE(TEXT(Date[[#This Row],[DATE]],"M"))</f>
        <v>1</v>
      </c>
      <c r="C28" t="str">
        <f>TEXT(Date[[#This Row],[DATE]],"MMM")</f>
        <v>Jan</v>
      </c>
      <c r="D28">
        <f>VALUE(TEXT(Date[[#This Row],[DATE]],"YYYY"))</f>
        <v>2019</v>
      </c>
      <c r="E28">
        <f>Date[[#This Row],[YEAR]]+(Date[[#This Row],[MONTH_NUMBER]]/100)</f>
        <v>2019.01</v>
      </c>
    </row>
    <row r="29" spans="1:5" x14ac:dyDescent="0.25">
      <c r="A29" s="29">
        <v>43493</v>
      </c>
      <c r="B29">
        <f>VALUE(TEXT(Date[[#This Row],[DATE]],"M"))</f>
        <v>1</v>
      </c>
      <c r="C29" t="str">
        <f>TEXT(Date[[#This Row],[DATE]],"MMM")</f>
        <v>Jan</v>
      </c>
      <c r="D29">
        <f>VALUE(TEXT(Date[[#This Row],[DATE]],"YYYY"))</f>
        <v>2019</v>
      </c>
      <c r="E29">
        <f>Date[[#This Row],[YEAR]]+(Date[[#This Row],[MONTH_NUMBER]]/100)</f>
        <v>2019.01</v>
      </c>
    </row>
    <row r="30" spans="1:5" x14ac:dyDescent="0.25">
      <c r="A30" s="29">
        <v>43494</v>
      </c>
      <c r="B30">
        <f>VALUE(TEXT(Date[[#This Row],[DATE]],"M"))</f>
        <v>1</v>
      </c>
      <c r="C30" t="str">
        <f>TEXT(Date[[#This Row],[DATE]],"MMM")</f>
        <v>Jan</v>
      </c>
      <c r="D30">
        <f>VALUE(TEXT(Date[[#This Row],[DATE]],"YYYY"))</f>
        <v>2019</v>
      </c>
      <c r="E30">
        <f>Date[[#This Row],[YEAR]]+(Date[[#This Row],[MONTH_NUMBER]]/100)</f>
        <v>2019.01</v>
      </c>
    </row>
    <row r="31" spans="1:5" x14ac:dyDescent="0.25">
      <c r="A31" s="29">
        <v>43495</v>
      </c>
      <c r="B31">
        <f>VALUE(TEXT(Date[[#This Row],[DATE]],"M"))</f>
        <v>1</v>
      </c>
      <c r="C31" t="str">
        <f>TEXT(Date[[#This Row],[DATE]],"MMM")</f>
        <v>Jan</v>
      </c>
      <c r="D31">
        <f>VALUE(TEXT(Date[[#This Row],[DATE]],"YYYY"))</f>
        <v>2019</v>
      </c>
      <c r="E31">
        <f>Date[[#This Row],[YEAR]]+(Date[[#This Row],[MONTH_NUMBER]]/100)</f>
        <v>2019.01</v>
      </c>
    </row>
    <row r="32" spans="1:5" x14ac:dyDescent="0.25">
      <c r="A32" s="29">
        <v>43496</v>
      </c>
      <c r="B32">
        <f>VALUE(TEXT(Date[[#This Row],[DATE]],"M"))</f>
        <v>1</v>
      </c>
      <c r="C32" t="str">
        <f>TEXT(Date[[#This Row],[DATE]],"MMM")</f>
        <v>Jan</v>
      </c>
      <c r="D32">
        <f>VALUE(TEXT(Date[[#This Row],[DATE]],"YYYY"))</f>
        <v>2019</v>
      </c>
      <c r="E32">
        <f>Date[[#This Row],[YEAR]]+(Date[[#This Row],[MONTH_NUMBER]]/100)</f>
        <v>2019.01</v>
      </c>
    </row>
    <row r="33" spans="1:5" x14ac:dyDescent="0.25">
      <c r="A33" s="29">
        <v>43497</v>
      </c>
      <c r="B33">
        <f>VALUE(TEXT(Date[[#This Row],[DATE]],"M"))</f>
        <v>2</v>
      </c>
      <c r="C33" t="str">
        <f>TEXT(Date[[#This Row],[DATE]],"MMM")</f>
        <v>Feb</v>
      </c>
      <c r="D33">
        <f>VALUE(TEXT(Date[[#This Row],[DATE]],"YYYY"))</f>
        <v>2019</v>
      </c>
      <c r="E33">
        <f>Date[[#This Row],[YEAR]]+(Date[[#This Row],[MONTH_NUMBER]]/100)</f>
        <v>2019.02</v>
      </c>
    </row>
    <row r="34" spans="1:5" x14ac:dyDescent="0.25">
      <c r="A34" s="29">
        <v>43498</v>
      </c>
      <c r="B34">
        <f>VALUE(TEXT(Date[[#This Row],[DATE]],"M"))</f>
        <v>2</v>
      </c>
      <c r="C34" t="str">
        <f>TEXT(Date[[#This Row],[DATE]],"MMM")</f>
        <v>Feb</v>
      </c>
      <c r="D34">
        <f>VALUE(TEXT(Date[[#This Row],[DATE]],"YYYY"))</f>
        <v>2019</v>
      </c>
      <c r="E34">
        <f>Date[[#This Row],[YEAR]]+(Date[[#This Row],[MONTH_NUMBER]]/100)</f>
        <v>2019.02</v>
      </c>
    </row>
    <row r="35" spans="1:5" x14ac:dyDescent="0.25">
      <c r="A35" s="29">
        <v>43499</v>
      </c>
      <c r="B35">
        <f>VALUE(TEXT(Date[[#This Row],[DATE]],"M"))</f>
        <v>2</v>
      </c>
      <c r="C35" t="str">
        <f>TEXT(Date[[#This Row],[DATE]],"MMM")</f>
        <v>Feb</v>
      </c>
      <c r="D35">
        <f>VALUE(TEXT(Date[[#This Row],[DATE]],"YYYY"))</f>
        <v>2019</v>
      </c>
      <c r="E35">
        <f>Date[[#This Row],[YEAR]]+(Date[[#This Row],[MONTH_NUMBER]]/100)</f>
        <v>2019.02</v>
      </c>
    </row>
    <row r="36" spans="1:5" x14ac:dyDescent="0.25">
      <c r="A36" s="29">
        <v>43500</v>
      </c>
      <c r="B36">
        <f>VALUE(TEXT(Date[[#This Row],[DATE]],"M"))</f>
        <v>2</v>
      </c>
      <c r="C36" t="str">
        <f>TEXT(Date[[#This Row],[DATE]],"MMM")</f>
        <v>Feb</v>
      </c>
      <c r="D36">
        <f>VALUE(TEXT(Date[[#This Row],[DATE]],"YYYY"))</f>
        <v>2019</v>
      </c>
      <c r="E36">
        <f>Date[[#This Row],[YEAR]]+(Date[[#This Row],[MONTH_NUMBER]]/100)</f>
        <v>2019.02</v>
      </c>
    </row>
    <row r="37" spans="1:5" x14ac:dyDescent="0.25">
      <c r="A37" s="29">
        <v>43501</v>
      </c>
      <c r="B37">
        <f>VALUE(TEXT(Date[[#This Row],[DATE]],"M"))</f>
        <v>2</v>
      </c>
      <c r="C37" t="str">
        <f>TEXT(Date[[#This Row],[DATE]],"MMM")</f>
        <v>Feb</v>
      </c>
      <c r="D37">
        <f>VALUE(TEXT(Date[[#This Row],[DATE]],"YYYY"))</f>
        <v>2019</v>
      </c>
      <c r="E37">
        <f>Date[[#This Row],[YEAR]]+(Date[[#This Row],[MONTH_NUMBER]]/100)</f>
        <v>2019.02</v>
      </c>
    </row>
    <row r="38" spans="1:5" x14ac:dyDescent="0.25">
      <c r="A38" s="29">
        <v>43502</v>
      </c>
      <c r="B38">
        <f>VALUE(TEXT(Date[[#This Row],[DATE]],"M"))</f>
        <v>2</v>
      </c>
      <c r="C38" t="str">
        <f>TEXT(Date[[#This Row],[DATE]],"MMM")</f>
        <v>Feb</v>
      </c>
      <c r="D38">
        <f>VALUE(TEXT(Date[[#This Row],[DATE]],"YYYY"))</f>
        <v>2019</v>
      </c>
      <c r="E38">
        <f>Date[[#This Row],[YEAR]]+(Date[[#This Row],[MONTH_NUMBER]]/100)</f>
        <v>2019.02</v>
      </c>
    </row>
    <row r="39" spans="1:5" x14ac:dyDescent="0.25">
      <c r="A39" s="29">
        <v>43503</v>
      </c>
      <c r="B39">
        <f>VALUE(TEXT(Date[[#This Row],[DATE]],"M"))</f>
        <v>2</v>
      </c>
      <c r="C39" t="str">
        <f>TEXT(Date[[#This Row],[DATE]],"MMM")</f>
        <v>Feb</v>
      </c>
      <c r="D39">
        <f>VALUE(TEXT(Date[[#This Row],[DATE]],"YYYY"))</f>
        <v>2019</v>
      </c>
      <c r="E39">
        <f>Date[[#This Row],[YEAR]]+(Date[[#This Row],[MONTH_NUMBER]]/100)</f>
        <v>2019.02</v>
      </c>
    </row>
    <row r="40" spans="1:5" x14ac:dyDescent="0.25">
      <c r="A40" s="29">
        <v>43504</v>
      </c>
      <c r="B40">
        <f>VALUE(TEXT(Date[[#This Row],[DATE]],"M"))</f>
        <v>2</v>
      </c>
      <c r="C40" t="str">
        <f>TEXT(Date[[#This Row],[DATE]],"MMM")</f>
        <v>Feb</v>
      </c>
      <c r="D40">
        <f>VALUE(TEXT(Date[[#This Row],[DATE]],"YYYY"))</f>
        <v>2019</v>
      </c>
      <c r="E40">
        <f>Date[[#This Row],[YEAR]]+(Date[[#This Row],[MONTH_NUMBER]]/100)</f>
        <v>2019.02</v>
      </c>
    </row>
    <row r="41" spans="1:5" x14ac:dyDescent="0.25">
      <c r="A41" s="29">
        <v>43505</v>
      </c>
      <c r="B41">
        <f>VALUE(TEXT(Date[[#This Row],[DATE]],"M"))</f>
        <v>2</v>
      </c>
      <c r="C41" t="str">
        <f>TEXT(Date[[#This Row],[DATE]],"MMM")</f>
        <v>Feb</v>
      </c>
      <c r="D41">
        <f>VALUE(TEXT(Date[[#This Row],[DATE]],"YYYY"))</f>
        <v>2019</v>
      </c>
      <c r="E41">
        <f>Date[[#This Row],[YEAR]]+(Date[[#This Row],[MONTH_NUMBER]]/100)</f>
        <v>2019.02</v>
      </c>
    </row>
    <row r="42" spans="1:5" x14ac:dyDescent="0.25">
      <c r="A42" s="29">
        <v>43506</v>
      </c>
      <c r="B42">
        <f>VALUE(TEXT(Date[[#This Row],[DATE]],"M"))</f>
        <v>2</v>
      </c>
      <c r="C42" t="str">
        <f>TEXT(Date[[#This Row],[DATE]],"MMM")</f>
        <v>Feb</v>
      </c>
      <c r="D42">
        <f>VALUE(TEXT(Date[[#This Row],[DATE]],"YYYY"))</f>
        <v>2019</v>
      </c>
      <c r="E42">
        <f>Date[[#This Row],[YEAR]]+(Date[[#This Row],[MONTH_NUMBER]]/100)</f>
        <v>2019.02</v>
      </c>
    </row>
    <row r="43" spans="1:5" x14ac:dyDescent="0.25">
      <c r="A43" s="29">
        <v>43507</v>
      </c>
      <c r="B43">
        <f>VALUE(TEXT(Date[[#This Row],[DATE]],"M"))</f>
        <v>2</v>
      </c>
      <c r="C43" t="str">
        <f>TEXT(Date[[#This Row],[DATE]],"MMM")</f>
        <v>Feb</v>
      </c>
      <c r="D43">
        <f>VALUE(TEXT(Date[[#This Row],[DATE]],"YYYY"))</f>
        <v>2019</v>
      </c>
      <c r="E43">
        <f>Date[[#This Row],[YEAR]]+(Date[[#This Row],[MONTH_NUMBER]]/100)</f>
        <v>2019.02</v>
      </c>
    </row>
    <row r="44" spans="1:5" x14ac:dyDescent="0.25">
      <c r="A44" s="29">
        <v>43508</v>
      </c>
      <c r="B44">
        <f>VALUE(TEXT(Date[[#This Row],[DATE]],"M"))</f>
        <v>2</v>
      </c>
      <c r="C44" t="str">
        <f>TEXT(Date[[#This Row],[DATE]],"MMM")</f>
        <v>Feb</v>
      </c>
      <c r="D44">
        <f>VALUE(TEXT(Date[[#This Row],[DATE]],"YYYY"))</f>
        <v>2019</v>
      </c>
      <c r="E44">
        <f>Date[[#This Row],[YEAR]]+(Date[[#This Row],[MONTH_NUMBER]]/100)</f>
        <v>2019.02</v>
      </c>
    </row>
    <row r="45" spans="1:5" x14ac:dyDescent="0.25">
      <c r="A45" s="29">
        <v>43509</v>
      </c>
      <c r="B45">
        <f>VALUE(TEXT(Date[[#This Row],[DATE]],"M"))</f>
        <v>2</v>
      </c>
      <c r="C45" t="str">
        <f>TEXT(Date[[#This Row],[DATE]],"MMM")</f>
        <v>Feb</v>
      </c>
      <c r="D45">
        <f>VALUE(TEXT(Date[[#This Row],[DATE]],"YYYY"))</f>
        <v>2019</v>
      </c>
      <c r="E45">
        <f>Date[[#This Row],[YEAR]]+(Date[[#This Row],[MONTH_NUMBER]]/100)</f>
        <v>2019.02</v>
      </c>
    </row>
    <row r="46" spans="1:5" x14ac:dyDescent="0.25">
      <c r="A46" s="29">
        <v>43510</v>
      </c>
      <c r="B46">
        <f>VALUE(TEXT(Date[[#This Row],[DATE]],"M"))</f>
        <v>2</v>
      </c>
      <c r="C46" t="str">
        <f>TEXT(Date[[#This Row],[DATE]],"MMM")</f>
        <v>Feb</v>
      </c>
      <c r="D46">
        <f>VALUE(TEXT(Date[[#This Row],[DATE]],"YYYY"))</f>
        <v>2019</v>
      </c>
      <c r="E46">
        <f>Date[[#This Row],[YEAR]]+(Date[[#This Row],[MONTH_NUMBER]]/100)</f>
        <v>2019.02</v>
      </c>
    </row>
    <row r="47" spans="1:5" x14ac:dyDescent="0.25">
      <c r="A47" s="29">
        <v>43511</v>
      </c>
      <c r="B47">
        <f>VALUE(TEXT(Date[[#This Row],[DATE]],"M"))</f>
        <v>2</v>
      </c>
      <c r="C47" t="str">
        <f>TEXT(Date[[#This Row],[DATE]],"MMM")</f>
        <v>Feb</v>
      </c>
      <c r="D47">
        <f>VALUE(TEXT(Date[[#This Row],[DATE]],"YYYY"))</f>
        <v>2019</v>
      </c>
      <c r="E47">
        <f>Date[[#This Row],[YEAR]]+(Date[[#This Row],[MONTH_NUMBER]]/100)</f>
        <v>2019.02</v>
      </c>
    </row>
    <row r="48" spans="1:5" x14ac:dyDescent="0.25">
      <c r="A48" s="29">
        <v>43512</v>
      </c>
      <c r="B48">
        <f>VALUE(TEXT(Date[[#This Row],[DATE]],"M"))</f>
        <v>2</v>
      </c>
      <c r="C48" t="str">
        <f>TEXT(Date[[#This Row],[DATE]],"MMM")</f>
        <v>Feb</v>
      </c>
      <c r="D48">
        <f>VALUE(TEXT(Date[[#This Row],[DATE]],"YYYY"))</f>
        <v>2019</v>
      </c>
      <c r="E48">
        <f>Date[[#This Row],[YEAR]]+(Date[[#This Row],[MONTH_NUMBER]]/100)</f>
        <v>2019.02</v>
      </c>
    </row>
    <row r="49" spans="1:5" x14ac:dyDescent="0.25">
      <c r="A49" s="29">
        <v>43513</v>
      </c>
      <c r="B49">
        <f>VALUE(TEXT(Date[[#This Row],[DATE]],"M"))</f>
        <v>2</v>
      </c>
      <c r="C49" t="str">
        <f>TEXT(Date[[#This Row],[DATE]],"MMM")</f>
        <v>Feb</v>
      </c>
      <c r="D49">
        <f>VALUE(TEXT(Date[[#This Row],[DATE]],"YYYY"))</f>
        <v>2019</v>
      </c>
      <c r="E49">
        <f>Date[[#This Row],[YEAR]]+(Date[[#This Row],[MONTH_NUMBER]]/100)</f>
        <v>2019.02</v>
      </c>
    </row>
    <row r="50" spans="1:5" x14ac:dyDescent="0.25">
      <c r="A50" s="29">
        <v>43514</v>
      </c>
      <c r="B50">
        <f>VALUE(TEXT(Date[[#This Row],[DATE]],"M"))</f>
        <v>2</v>
      </c>
      <c r="C50" t="str">
        <f>TEXT(Date[[#This Row],[DATE]],"MMM")</f>
        <v>Feb</v>
      </c>
      <c r="D50">
        <f>VALUE(TEXT(Date[[#This Row],[DATE]],"YYYY"))</f>
        <v>2019</v>
      </c>
      <c r="E50">
        <f>Date[[#This Row],[YEAR]]+(Date[[#This Row],[MONTH_NUMBER]]/100)</f>
        <v>2019.02</v>
      </c>
    </row>
    <row r="51" spans="1:5" x14ac:dyDescent="0.25">
      <c r="A51" s="29">
        <v>43515</v>
      </c>
      <c r="B51">
        <f>VALUE(TEXT(Date[[#This Row],[DATE]],"M"))</f>
        <v>2</v>
      </c>
      <c r="C51" t="str">
        <f>TEXT(Date[[#This Row],[DATE]],"MMM")</f>
        <v>Feb</v>
      </c>
      <c r="D51">
        <f>VALUE(TEXT(Date[[#This Row],[DATE]],"YYYY"))</f>
        <v>2019</v>
      </c>
      <c r="E51">
        <f>Date[[#This Row],[YEAR]]+(Date[[#This Row],[MONTH_NUMBER]]/100)</f>
        <v>2019.02</v>
      </c>
    </row>
    <row r="52" spans="1:5" x14ac:dyDescent="0.25">
      <c r="A52" s="29">
        <v>43516</v>
      </c>
      <c r="B52">
        <f>VALUE(TEXT(Date[[#This Row],[DATE]],"M"))</f>
        <v>2</v>
      </c>
      <c r="C52" t="str">
        <f>TEXT(Date[[#This Row],[DATE]],"MMM")</f>
        <v>Feb</v>
      </c>
      <c r="D52">
        <f>VALUE(TEXT(Date[[#This Row],[DATE]],"YYYY"))</f>
        <v>2019</v>
      </c>
      <c r="E52">
        <f>Date[[#This Row],[YEAR]]+(Date[[#This Row],[MONTH_NUMBER]]/100)</f>
        <v>2019.02</v>
      </c>
    </row>
    <row r="53" spans="1:5" x14ac:dyDescent="0.25">
      <c r="A53" s="29">
        <v>43517</v>
      </c>
      <c r="B53">
        <f>VALUE(TEXT(Date[[#This Row],[DATE]],"M"))</f>
        <v>2</v>
      </c>
      <c r="C53" t="str">
        <f>TEXT(Date[[#This Row],[DATE]],"MMM")</f>
        <v>Feb</v>
      </c>
      <c r="D53">
        <f>VALUE(TEXT(Date[[#This Row],[DATE]],"YYYY"))</f>
        <v>2019</v>
      </c>
      <c r="E53">
        <f>Date[[#This Row],[YEAR]]+(Date[[#This Row],[MONTH_NUMBER]]/100)</f>
        <v>2019.02</v>
      </c>
    </row>
    <row r="54" spans="1:5" x14ac:dyDescent="0.25">
      <c r="A54" s="29">
        <v>43518</v>
      </c>
      <c r="B54">
        <f>VALUE(TEXT(Date[[#This Row],[DATE]],"M"))</f>
        <v>2</v>
      </c>
      <c r="C54" t="str">
        <f>TEXT(Date[[#This Row],[DATE]],"MMM")</f>
        <v>Feb</v>
      </c>
      <c r="D54">
        <f>VALUE(TEXT(Date[[#This Row],[DATE]],"YYYY"))</f>
        <v>2019</v>
      </c>
      <c r="E54">
        <f>Date[[#This Row],[YEAR]]+(Date[[#This Row],[MONTH_NUMBER]]/100)</f>
        <v>2019.02</v>
      </c>
    </row>
    <row r="55" spans="1:5" x14ac:dyDescent="0.25">
      <c r="A55" s="29">
        <v>43519</v>
      </c>
      <c r="B55">
        <f>VALUE(TEXT(Date[[#This Row],[DATE]],"M"))</f>
        <v>2</v>
      </c>
      <c r="C55" t="str">
        <f>TEXT(Date[[#This Row],[DATE]],"MMM")</f>
        <v>Feb</v>
      </c>
      <c r="D55">
        <f>VALUE(TEXT(Date[[#This Row],[DATE]],"YYYY"))</f>
        <v>2019</v>
      </c>
      <c r="E55">
        <f>Date[[#This Row],[YEAR]]+(Date[[#This Row],[MONTH_NUMBER]]/100)</f>
        <v>2019.02</v>
      </c>
    </row>
    <row r="56" spans="1:5" x14ac:dyDescent="0.25">
      <c r="A56" s="29">
        <v>43520</v>
      </c>
      <c r="B56">
        <f>VALUE(TEXT(Date[[#This Row],[DATE]],"M"))</f>
        <v>2</v>
      </c>
      <c r="C56" t="str">
        <f>TEXT(Date[[#This Row],[DATE]],"MMM")</f>
        <v>Feb</v>
      </c>
      <c r="D56">
        <f>VALUE(TEXT(Date[[#This Row],[DATE]],"YYYY"))</f>
        <v>2019</v>
      </c>
      <c r="E56">
        <f>Date[[#This Row],[YEAR]]+(Date[[#This Row],[MONTH_NUMBER]]/100)</f>
        <v>2019.02</v>
      </c>
    </row>
    <row r="57" spans="1:5" x14ac:dyDescent="0.25">
      <c r="A57" s="29">
        <v>43521</v>
      </c>
      <c r="B57">
        <f>VALUE(TEXT(Date[[#This Row],[DATE]],"M"))</f>
        <v>2</v>
      </c>
      <c r="C57" t="str">
        <f>TEXT(Date[[#This Row],[DATE]],"MMM")</f>
        <v>Feb</v>
      </c>
      <c r="D57">
        <f>VALUE(TEXT(Date[[#This Row],[DATE]],"YYYY"))</f>
        <v>2019</v>
      </c>
      <c r="E57">
        <f>Date[[#This Row],[YEAR]]+(Date[[#This Row],[MONTH_NUMBER]]/100)</f>
        <v>2019.02</v>
      </c>
    </row>
    <row r="58" spans="1:5" x14ac:dyDescent="0.25">
      <c r="A58" s="29">
        <v>43522</v>
      </c>
      <c r="B58">
        <f>VALUE(TEXT(Date[[#This Row],[DATE]],"M"))</f>
        <v>2</v>
      </c>
      <c r="C58" t="str">
        <f>TEXT(Date[[#This Row],[DATE]],"MMM")</f>
        <v>Feb</v>
      </c>
      <c r="D58">
        <f>VALUE(TEXT(Date[[#This Row],[DATE]],"YYYY"))</f>
        <v>2019</v>
      </c>
      <c r="E58">
        <f>Date[[#This Row],[YEAR]]+(Date[[#This Row],[MONTH_NUMBER]]/100)</f>
        <v>2019.02</v>
      </c>
    </row>
    <row r="59" spans="1:5" x14ac:dyDescent="0.25">
      <c r="A59" s="29">
        <v>43523</v>
      </c>
      <c r="B59">
        <f>VALUE(TEXT(Date[[#This Row],[DATE]],"M"))</f>
        <v>2</v>
      </c>
      <c r="C59" t="str">
        <f>TEXT(Date[[#This Row],[DATE]],"MMM")</f>
        <v>Feb</v>
      </c>
      <c r="D59">
        <f>VALUE(TEXT(Date[[#This Row],[DATE]],"YYYY"))</f>
        <v>2019</v>
      </c>
      <c r="E59">
        <f>Date[[#This Row],[YEAR]]+(Date[[#This Row],[MONTH_NUMBER]]/100)</f>
        <v>2019.02</v>
      </c>
    </row>
    <row r="60" spans="1:5" x14ac:dyDescent="0.25">
      <c r="A60" s="29">
        <v>43524</v>
      </c>
      <c r="B60">
        <f>VALUE(TEXT(Date[[#This Row],[DATE]],"M"))</f>
        <v>2</v>
      </c>
      <c r="C60" t="str">
        <f>TEXT(Date[[#This Row],[DATE]],"MMM")</f>
        <v>Feb</v>
      </c>
      <c r="D60">
        <f>VALUE(TEXT(Date[[#This Row],[DATE]],"YYYY"))</f>
        <v>2019</v>
      </c>
      <c r="E60">
        <f>Date[[#This Row],[YEAR]]+(Date[[#This Row],[MONTH_NUMBER]]/100)</f>
        <v>2019.02</v>
      </c>
    </row>
    <row r="61" spans="1:5" x14ac:dyDescent="0.25">
      <c r="A61" s="29">
        <v>43525</v>
      </c>
      <c r="B61">
        <f>VALUE(TEXT(Date[[#This Row],[DATE]],"M"))</f>
        <v>3</v>
      </c>
      <c r="C61" t="str">
        <f>TEXT(Date[[#This Row],[DATE]],"MMM")</f>
        <v>Mar</v>
      </c>
      <c r="D61">
        <f>VALUE(TEXT(Date[[#This Row],[DATE]],"YYYY"))</f>
        <v>2019</v>
      </c>
      <c r="E61">
        <f>Date[[#This Row],[YEAR]]+(Date[[#This Row],[MONTH_NUMBER]]/100)</f>
        <v>2019.03</v>
      </c>
    </row>
    <row r="62" spans="1:5" x14ac:dyDescent="0.25">
      <c r="A62" s="29">
        <v>43526</v>
      </c>
      <c r="B62">
        <f>VALUE(TEXT(Date[[#This Row],[DATE]],"M"))</f>
        <v>3</v>
      </c>
      <c r="C62" t="str">
        <f>TEXT(Date[[#This Row],[DATE]],"MMM")</f>
        <v>Mar</v>
      </c>
      <c r="D62">
        <f>VALUE(TEXT(Date[[#This Row],[DATE]],"YYYY"))</f>
        <v>2019</v>
      </c>
      <c r="E62">
        <f>Date[[#This Row],[YEAR]]+(Date[[#This Row],[MONTH_NUMBER]]/100)</f>
        <v>2019.03</v>
      </c>
    </row>
    <row r="63" spans="1:5" x14ac:dyDescent="0.25">
      <c r="A63" s="29">
        <v>43527</v>
      </c>
      <c r="B63">
        <f>VALUE(TEXT(Date[[#This Row],[DATE]],"M"))</f>
        <v>3</v>
      </c>
      <c r="C63" t="str">
        <f>TEXT(Date[[#This Row],[DATE]],"MMM")</f>
        <v>Mar</v>
      </c>
      <c r="D63">
        <f>VALUE(TEXT(Date[[#This Row],[DATE]],"YYYY"))</f>
        <v>2019</v>
      </c>
      <c r="E63">
        <f>Date[[#This Row],[YEAR]]+(Date[[#This Row],[MONTH_NUMBER]]/100)</f>
        <v>2019.03</v>
      </c>
    </row>
    <row r="64" spans="1:5" x14ac:dyDescent="0.25">
      <c r="A64" s="29">
        <v>43528</v>
      </c>
      <c r="B64">
        <f>VALUE(TEXT(Date[[#This Row],[DATE]],"M"))</f>
        <v>3</v>
      </c>
      <c r="C64" t="str">
        <f>TEXT(Date[[#This Row],[DATE]],"MMM")</f>
        <v>Mar</v>
      </c>
      <c r="D64">
        <f>VALUE(TEXT(Date[[#This Row],[DATE]],"YYYY"))</f>
        <v>2019</v>
      </c>
      <c r="E64">
        <f>Date[[#This Row],[YEAR]]+(Date[[#This Row],[MONTH_NUMBER]]/100)</f>
        <v>2019.03</v>
      </c>
    </row>
    <row r="65" spans="1:5" x14ac:dyDescent="0.25">
      <c r="A65" s="29">
        <v>43529</v>
      </c>
      <c r="B65">
        <f>VALUE(TEXT(Date[[#This Row],[DATE]],"M"))</f>
        <v>3</v>
      </c>
      <c r="C65" t="str">
        <f>TEXT(Date[[#This Row],[DATE]],"MMM")</f>
        <v>Mar</v>
      </c>
      <c r="D65">
        <f>VALUE(TEXT(Date[[#This Row],[DATE]],"YYYY"))</f>
        <v>2019</v>
      </c>
      <c r="E65">
        <f>Date[[#This Row],[YEAR]]+(Date[[#This Row],[MONTH_NUMBER]]/100)</f>
        <v>2019.03</v>
      </c>
    </row>
    <row r="66" spans="1:5" x14ac:dyDescent="0.25">
      <c r="A66" s="29">
        <v>43530</v>
      </c>
      <c r="B66">
        <f>VALUE(TEXT(Date[[#This Row],[DATE]],"M"))</f>
        <v>3</v>
      </c>
      <c r="C66" t="str">
        <f>TEXT(Date[[#This Row],[DATE]],"MMM")</f>
        <v>Mar</v>
      </c>
      <c r="D66">
        <f>VALUE(TEXT(Date[[#This Row],[DATE]],"YYYY"))</f>
        <v>2019</v>
      </c>
      <c r="E66">
        <f>Date[[#This Row],[YEAR]]+(Date[[#This Row],[MONTH_NUMBER]]/100)</f>
        <v>2019.03</v>
      </c>
    </row>
    <row r="67" spans="1:5" x14ac:dyDescent="0.25">
      <c r="A67" s="29">
        <v>43531</v>
      </c>
      <c r="B67">
        <f>VALUE(TEXT(Date[[#This Row],[DATE]],"M"))</f>
        <v>3</v>
      </c>
      <c r="C67" t="str">
        <f>TEXT(Date[[#This Row],[DATE]],"MMM")</f>
        <v>Mar</v>
      </c>
      <c r="D67">
        <f>VALUE(TEXT(Date[[#This Row],[DATE]],"YYYY"))</f>
        <v>2019</v>
      </c>
      <c r="E67">
        <f>Date[[#This Row],[YEAR]]+(Date[[#This Row],[MONTH_NUMBER]]/100)</f>
        <v>2019.03</v>
      </c>
    </row>
    <row r="68" spans="1:5" x14ac:dyDescent="0.25">
      <c r="A68" s="29">
        <v>43532</v>
      </c>
      <c r="B68">
        <f>VALUE(TEXT(Date[[#This Row],[DATE]],"M"))</f>
        <v>3</v>
      </c>
      <c r="C68" t="str">
        <f>TEXT(Date[[#This Row],[DATE]],"MMM")</f>
        <v>Mar</v>
      </c>
      <c r="D68">
        <f>VALUE(TEXT(Date[[#This Row],[DATE]],"YYYY"))</f>
        <v>2019</v>
      </c>
      <c r="E68">
        <f>Date[[#This Row],[YEAR]]+(Date[[#This Row],[MONTH_NUMBER]]/100)</f>
        <v>2019.03</v>
      </c>
    </row>
    <row r="69" spans="1:5" x14ac:dyDescent="0.25">
      <c r="A69" s="29">
        <v>43533</v>
      </c>
      <c r="B69">
        <f>VALUE(TEXT(Date[[#This Row],[DATE]],"M"))</f>
        <v>3</v>
      </c>
      <c r="C69" t="str">
        <f>TEXT(Date[[#This Row],[DATE]],"MMM")</f>
        <v>Mar</v>
      </c>
      <c r="D69">
        <f>VALUE(TEXT(Date[[#This Row],[DATE]],"YYYY"))</f>
        <v>2019</v>
      </c>
      <c r="E69">
        <f>Date[[#This Row],[YEAR]]+(Date[[#This Row],[MONTH_NUMBER]]/100)</f>
        <v>2019.03</v>
      </c>
    </row>
    <row r="70" spans="1:5" x14ac:dyDescent="0.25">
      <c r="A70" s="29">
        <v>43534</v>
      </c>
      <c r="B70">
        <f>VALUE(TEXT(Date[[#This Row],[DATE]],"M"))</f>
        <v>3</v>
      </c>
      <c r="C70" t="str">
        <f>TEXT(Date[[#This Row],[DATE]],"MMM")</f>
        <v>Mar</v>
      </c>
      <c r="D70">
        <f>VALUE(TEXT(Date[[#This Row],[DATE]],"YYYY"))</f>
        <v>2019</v>
      </c>
      <c r="E70">
        <f>Date[[#This Row],[YEAR]]+(Date[[#This Row],[MONTH_NUMBER]]/100)</f>
        <v>2019.03</v>
      </c>
    </row>
    <row r="71" spans="1:5" x14ac:dyDescent="0.25">
      <c r="A71" s="29">
        <v>43535</v>
      </c>
      <c r="B71">
        <f>VALUE(TEXT(Date[[#This Row],[DATE]],"M"))</f>
        <v>3</v>
      </c>
      <c r="C71" t="str">
        <f>TEXT(Date[[#This Row],[DATE]],"MMM")</f>
        <v>Mar</v>
      </c>
      <c r="D71">
        <f>VALUE(TEXT(Date[[#This Row],[DATE]],"YYYY"))</f>
        <v>2019</v>
      </c>
      <c r="E71">
        <f>Date[[#This Row],[YEAR]]+(Date[[#This Row],[MONTH_NUMBER]]/100)</f>
        <v>2019.03</v>
      </c>
    </row>
    <row r="72" spans="1:5" x14ac:dyDescent="0.25">
      <c r="A72" s="29">
        <v>43536</v>
      </c>
      <c r="B72">
        <f>VALUE(TEXT(Date[[#This Row],[DATE]],"M"))</f>
        <v>3</v>
      </c>
      <c r="C72" t="str">
        <f>TEXT(Date[[#This Row],[DATE]],"MMM")</f>
        <v>Mar</v>
      </c>
      <c r="D72">
        <f>VALUE(TEXT(Date[[#This Row],[DATE]],"YYYY"))</f>
        <v>2019</v>
      </c>
      <c r="E72">
        <f>Date[[#This Row],[YEAR]]+(Date[[#This Row],[MONTH_NUMBER]]/100)</f>
        <v>2019.03</v>
      </c>
    </row>
    <row r="73" spans="1:5" x14ac:dyDescent="0.25">
      <c r="A73" s="29">
        <v>43537</v>
      </c>
      <c r="B73">
        <f>VALUE(TEXT(Date[[#This Row],[DATE]],"M"))</f>
        <v>3</v>
      </c>
      <c r="C73" t="str">
        <f>TEXT(Date[[#This Row],[DATE]],"MMM")</f>
        <v>Mar</v>
      </c>
      <c r="D73">
        <f>VALUE(TEXT(Date[[#This Row],[DATE]],"YYYY"))</f>
        <v>2019</v>
      </c>
      <c r="E73">
        <f>Date[[#This Row],[YEAR]]+(Date[[#This Row],[MONTH_NUMBER]]/100)</f>
        <v>2019.03</v>
      </c>
    </row>
    <row r="74" spans="1:5" x14ac:dyDescent="0.25">
      <c r="A74" s="29">
        <v>43538</v>
      </c>
      <c r="B74">
        <f>VALUE(TEXT(Date[[#This Row],[DATE]],"M"))</f>
        <v>3</v>
      </c>
      <c r="C74" t="str">
        <f>TEXT(Date[[#This Row],[DATE]],"MMM")</f>
        <v>Mar</v>
      </c>
      <c r="D74">
        <f>VALUE(TEXT(Date[[#This Row],[DATE]],"YYYY"))</f>
        <v>2019</v>
      </c>
      <c r="E74">
        <f>Date[[#This Row],[YEAR]]+(Date[[#This Row],[MONTH_NUMBER]]/100)</f>
        <v>2019.03</v>
      </c>
    </row>
    <row r="75" spans="1:5" x14ac:dyDescent="0.25">
      <c r="A75" s="29">
        <v>43539</v>
      </c>
      <c r="B75">
        <f>VALUE(TEXT(Date[[#This Row],[DATE]],"M"))</f>
        <v>3</v>
      </c>
      <c r="C75" t="str">
        <f>TEXT(Date[[#This Row],[DATE]],"MMM")</f>
        <v>Mar</v>
      </c>
      <c r="D75">
        <f>VALUE(TEXT(Date[[#This Row],[DATE]],"YYYY"))</f>
        <v>2019</v>
      </c>
      <c r="E75">
        <f>Date[[#This Row],[YEAR]]+(Date[[#This Row],[MONTH_NUMBER]]/100)</f>
        <v>2019.03</v>
      </c>
    </row>
    <row r="76" spans="1:5" x14ac:dyDescent="0.25">
      <c r="A76" s="29">
        <v>43540</v>
      </c>
      <c r="B76">
        <f>VALUE(TEXT(Date[[#This Row],[DATE]],"M"))</f>
        <v>3</v>
      </c>
      <c r="C76" t="str">
        <f>TEXT(Date[[#This Row],[DATE]],"MMM")</f>
        <v>Mar</v>
      </c>
      <c r="D76">
        <f>VALUE(TEXT(Date[[#This Row],[DATE]],"YYYY"))</f>
        <v>2019</v>
      </c>
      <c r="E76">
        <f>Date[[#This Row],[YEAR]]+(Date[[#This Row],[MONTH_NUMBER]]/100)</f>
        <v>2019.03</v>
      </c>
    </row>
    <row r="77" spans="1:5" x14ac:dyDescent="0.25">
      <c r="A77" s="29">
        <v>43541</v>
      </c>
      <c r="B77">
        <f>VALUE(TEXT(Date[[#This Row],[DATE]],"M"))</f>
        <v>3</v>
      </c>
      <c r="C77" t="str">
        <f>TEXT(Date[[#This Row],[DATE]],"MMM")</f>
        <v>Mar</v>
      </c>
      <c r="D77">
        <f>VALUE(TEXT(Date[[#This Row],[DATE]],"YYYY"))</f>
        <v>2019</v>
      </c>
      <c r="E77">
        <f>Date[[#This Row],[YEAR]]+(Date[[#This Row],[MONTH_NUMBER]]/100)</f>
        <v>2019.03</v>
      </c>
    </row>
    <row r="78" spans="1:5" x14ac:dyDescent="0.25">
      <c r="A78" s="29">
        <v>43542</v>
      </c>
      <c r="B78">
        <f>VALUE(TEXT(Date[[#This Row],[DATE]],"M"))</f>
        <v>3</v>
      </c>
      <c r="C78" t="str">
        <f>TEXT(Date[[#This Row],[DATE]],"MMM")</f>
        <v>Mar</v>
      </c>
      <c r="D78">
        <f>VALUE(TEXT(Date[[#This Row],[DATE]],"YYYY"))</f>
        <v>2019</v>
      </c>
      <c r="E78">
        <f>Date[[#This Row],[YEAR]]+(Date[[#This Row],[MONTH_NUMBER]]/100)</f>
        <v>2019.03</v>
      </c>
    </row>
    <row r="79" spans="1:5" x14ac:dyDescent="0.25">
      <c r="A79" s="29">
        <v>43543</v>
      </c>
      <c r="B79">
        <f>VALUE(TEXT(Date[[#This Row],[DATE]],"M"))</f>
        <v>3</v>
      </c>
      <c r="C79" t="str">
        <f>TEXT(Date[[#This Row],[DATE]],"MMM")</f>
        <v>Mar</v>
      </c>
      <c r="D79">
        <f>VALUE(TEXT(Date[[#This Row],[DATE]],"YYYY"))</f>
        <v>2019</v>
      </c>
      <c r="E79">
        <f>Date[[#This Row],[YEAR]]+(Date[[#This Row],[MONTH_NUMBER]]/100)</f>
        <v>2019.03</v>
      </c>
    </row>
    <row r="80" spans="1:5" x14ac:dyDescent="0.25">
      <c r="A80" s="29">
        <v>43544</v>
      </c>
      <c r="B80">
        <f>VALUE(TEXT(Date[[#This Row],[DATE]],"M"))</f>
        <v>3</v>
      </c>
      <c r="C80" t="str">
        <f>TEXT(Date[[#This Row],[DATE]],"MMM")</f>
        <v>Mar</v>
      </c>
      <c r="D80">
        <f>VALUE(TEXT(Date[[#This Row],[DATE]],"YYYY"))</f>
        <v>2019</v>
      </c>
      <c r="E80">
        <f>Date[[#This Row],[YEAR]]+(Date[[#This Row],[MONTH_NUMBER]]/100)</f>
        <v>2019.03</v>
      </c>
    </row>
    <row r="81" spans="1:5" x14ac:dyDescent="0.25">
      <c r="A81" s="29">
        <v>43545</v>
      </c>
      <c r="B81">
        <f>VALUE(TEXT(Date[[#This Row],[DATE]],"M"))</f>
        <v>3</v>
      </c>
      <c r="C81" t="str">
        <f>TEXT(Date[[#This Row],[DATE]],"MMM")</f>
        <v>Mar</v>
      </c>
      <c r="D81">
        <f>VALUE(TEXT(Date[[#This Row],[DATE]],"YYYY"))</f>
        <v>2019</v>
      </c>
      <c r="E81">
        <f>Date[[#This Row],[YEAR]]+(Date[[#This Row],[MONTH_NUMBER]]/100)</f>
        <v>2019.03</v>
      </c>
    </row>
    <row r="82" spans="1:5" x14ac:dyDescent="0.25">
      <c r="A82" s="29">
        <v>43546</v>
      </c>
      <c r="B82">
        <f>VALUE(TEXT(Date[[#This Row],[DATE]],"M"))</f>
        <v>3</v>
      </c>
      <c r="C82" t="str">
        <f>TEXT(Date[[#This Row],[DATE]],"MMM")</f>
        <v>Mar</v>
      </c>
      <c r="D82">
        <f>VALUE(TEXT(Date[[#This Row],[DATE]],"YYYY"))</f>
        <v>2019</v>
      </c>
      <c r="E82">
        <f>Date[[#This Row],[YEAR]]+(Date[[#This Row],[MONTH_NUMBER]]/100)</f>
        <v>2019.03</v>
      </c>
    </row>
    <row r="83" spans="1:5" x14ac:dyDescent="0.25">
      <c r="A83" s="29">
        <v>43547</v>
      </c>
      <c r="B83">
        <f>VALUE(TEXT(Date[[#This Row],[DATE]],"M"))</f>
        <v>3</v>
      </c>
      <c r="C83" t="str">
        <f>TEXT(Date[[#This Row],[DATE]],"MMM")</f>
        <v>Mar</v>
      </c>
      <c r="D83">
        <f>VALUE(TEXT(Date[[#This Row],[DATE]],"YYYY"))</f>
        <v>2019</v>
      </c>
      <c r="E83">
        <f>Date[[#This Row],[YEAR]]+(Date[[#This Row],[MONTH_NUMBER]]/100)</f>
        <v>2019.03</v>
      </c>
    </row>
    <row r="84" spans="1:5" x14ac:dyDescent="0.25">
      <c r="A84" s="29">
        <v>43548</v>
      </c>
      <c r="B84">
        <f>VALUE(TEXT(Date[[#This Row],[DATE]],"M"))</f>
        <v>3</v>
      </c>
      <c r="C84" t="str">
        <f>TEXT(Date[[#This Row],[DATE]],"MMM")</f>
        <v>Mar</v>
      </c>
      <c r="D84">
        <f>VALUE(TEXT(Date[[#This Row],[DATE]],"YYYY"))</f>
        <v>2019</v>
      </c>
      <c r="E84">
        <f>Date[[#This Row],[YEAR]]+(Date[[#This Row],[MONTH_NUMBER]]/100)</f>
        <v>2019.03</v>
      </c>
    </row>
    <row r="85" spans="1:5" x14ac:dyDescent="0.25">
      <c r="A85" s="29">
        <v>43549</v>
      </c>
      <c r="B85">
        <f>VALUE(TEXT(Date[[#This Row],[DATE]],"M"))</f>
        <v>3</v>
      </c>
      <c r="C85" t="str">
        <f>TEXT(Date[[#This Row],[DATE]],"MMM")</f>
        <v>Mar</v>
      </c>
      <c r="D85">
        <f>VALUE(TEXT(Date[[#This Row],[DATE]],"YYYY"))</f>
        <v>2019</v>
      </c>
      <c r="E85">
        <f>Date[[#This Row],[YEAR]]+(Date[[#This Row],[MONTH_NUMBER]]/100)</f>
        <v>2019.03</v>
      </c>
    </row>
    <row r="86" spans="1:5" x14ac:dyDescent="0.25">
      <c r="A86" s="29">
        <v>43550</v>
      </c>
      <c r="B86">
        <f>VALUE(TEXT(Date[[#This Row],[DATE]],"M"))</f>
        <v>3</v>
      </c>
      <c r="C86" t="str">
        <f>TEXT(Date[[#This Row],[DATE]],"MMM")</f>
        <v>Mar</v>
      </c>
      <c r="D86">
        <f>VALUE(TEXT(Date[[#This Row],[DATE]],"YYYY"))</f>
        <v>2019</v>
      </c>
      <c r="E86">
        <f>Date[[#This Row],[YEAR]]+(Date[[#This Row],[MONTH_NUMBER]]/100)</f>
        <v>2019.03</v>
      </c>
    </row>
    <row r="87" spans="1:5" x14ac:dyDescent="0.25">
      <c r="A87" s="29">
        <v>43551</v>
      </c>
      <c r="B87">
        <f>VALUE(TEXT(Date[[#This Row],[DATE]],"M"))</f>
        <v>3</v>
      </c>
      <c r="C87" t="str">
        <f>TEXT(Date[[#This Row],[DATE]],"MMM")</f>
        <v>Mar</v>
      </c>
      <c r="D87">
        <f>VALUE(TEXT(Date[[#This Row],[DATE]],"YYYY"))</f>
        <v>2019</v>
      </c>
      <c r="E87">
        <f>Date[[#This Row],[YEAR]]+(Date[[#This Row],[MONTH_NUMBER]]/100)</f>
        <v>2019.03</v>
      </c>
    </row>
    <row r="88" spans="1:5" x14ac:dyDescent="0.25">
      <c r="A88" s="29">
        <v>43552</v>
      </c>
      <c r="B88">
        <f>VALUE(TEXT(Date[[#This Row],[DATE]],"M"))</f>
        <v>3</v>
      </c>
      <c r="C88" t="str">
        <f>TEXT(Date[[#This Row],[DATE]],"MMM")</f>
        <v>Mar</v>
      </c>
      <c r="D88">
        <f>VALUE(TEXT(Date[[#This Row],[DATE]],"YYYY"))</f>
        <v>2019</v>
      </c>
      <c r="E88">
        <f>Date[[#This Row],[YEAR]]+(Date[[#This Row],[MONTH_NUMBER]]/100)</f>
        <v>2019.03</v>
      </c>
    </row>
    <row r="89" spans="1:5" x14ac:dyDescent="0.25">
      <c r="A89" s="29">
        <v>43553</v>
      </c>
      <c r="B89">
        <f>VALUE(TEXT(Date[[#This Row],[DATE]],"M"))</f>
        <v>3</v>
      </c>
      <c r="C89" t="str">
        <f>TEXT(Date[[#This Row],[DATE]],"MMM")</f>
        <v>Mar</v>
      </c>
      <c r="D89">
        <f>VALUE(TEXT(Date[[#This Row],[DATE]],"YYYY"))</f>
        <v>2019</v>
      </c>
      <c r="E89">
        <f>Date[[#This Row],[YEAR]]+(Date[[#This Row],[MONTH_NUMBER]]/100)</f>
        <v>2019.03</v>
      </c>
    </row>
    <row r="90" spans="1:5" x14ac:dyDescent="0.25">
      <c r="A90" s="29">
        <v>43554</v>
      </c>
      <c r="B90">
        <f>VALUE(TEXT(Date[[#This Row],[DATE]],"M"))</f>
        <v>3</v>
      </c>
      <c r="C90" t="str">
        <f>TEXT(Date[[#This Row],[DATE]],"MMM")</f>
        <v>Mar</v>
      </c>
      <c r="D90">
        <f>VALUE(TEXT(Date[[#This Row],[DATE]],"YYYY"))</f>
        <v>2019</v>
      </c>
      <c r="E90">
        <f>Date[[#This Row],[YEAR]]+(Date[[#This Row],[MONTH_NUMBER]]/100)</f>
        <v>2019.03</v>
      </c>
    </row>
    <row r="91" spans="1:5" x14ac:dyDescent="0.25">
      <c r="A91" s="29">
        <v>43555</v>
      </c>
      <c r="B91">
        <f>VALUE(TEXT(Date[[#This Row],[DATE]],"M"))</f>
        <v>3</v>
      </c>
      <c r="C91" t="str">
        <f>TEXT(Date[[#This Row],[DATE]],"MMM")</f>
        <v>Mar</v>
      </c>
      <c r="D91">
        <f>VALUE(TEXT(Date[[#This Row],[DATE]],"YYYY"))</f>
        <v>2019</v>
      </c>
      <c r="E91">
        <f>Date[[#This Row],[YEAR]]+(Date[[#This Row],[MONTH_NUMBER]]/100)</f>
        <v>2019.03</v>
      </c>
    </row>
    <row r="92" spans="1:5" x14ac:dyDescent="0.25">
      <c r="A92" s="29">
        <v>43556</v>
      </c>
      <c r="B92">
        <f>VALUE(TEXT(Date[[#This Row],[DATE]],"M"))</f>
        <v>4</v>
      </c>
      <c r="C92" t="str">
        <f>TEXT(Date[[#This Row],[DATE]],"MMM")</f>
        <v>Apr</v>
      </c>
      <c r="D92">
        <f>VALUE(TEXT(Date[[#This Row],[DATE]],"YYYY"))</f>
        <v>2019</v>
      </c>
      <c r="E92">
        <f>Date[[#This Row],[YEAR]]+(Date[[#This Row],[MONTH_NUMBER]]/100)</f>
        <v>2019.04</v>
      </c>
    </row>
    <row r="93" spans="1:5" x14ac:dyDescent="0.25">
      <c r="A93" s="29">
        <v>43557</v>
      </c>
      <c r="B93">
        <f>VALUE(TEXT(Date[[#This Row],[DATE]],"M"))</f>
        <v>4</v>
      </c>
      <c r="C93" t="str">
        <f>TEXT(Date[[#This Row],[DATE]],"MMM")</f>
        <v>Apr</v>
      </c>
      <c r="D93">
        <f>VALUE(TEXT(Date[[#This Row],[DATE]],"YYYY"))</f>
        <v>2019</v>
      </c>
      <c r="E93">
        <f>Date[[#This Row],[YEAR]]+(Date[[#This Row],[MONTH_NUMBER]]/100)</f>
        <v>2019.04</v>
      </c>
    </row>
    <row r="94" spans="1:5" x14ac:dyDescent="0.25">
      <c r="A94" s="29">
        <v>43558</v>
      </c>
      <c r="B94">
        <f>VALUE(TEXT(Date[[#This Row],[DATE]],"M"))</f>
        <v>4</v>
      </c>
      <c r="C94" t="str">
        <f>TEXT(Date[[#This Row],[DATE]],"MMM")</f>
        <v>Apr</v>
      </c>
      <c r="D94">
        <f>VALUE(TEXT(Date[[#This Row],[DATE]],"YYYY"))</f>
        <v>2019</v>
      </c>
      <c r="E94">
        <f>Date[[#This Row],[YEAR]]+(Date[[#This Row],[MONTH_NUMBER]]/100)</f>
        <v>2019.04</v>
      </c>
    </row>
    <row r="95" spans="1:5" x14ac:dyDescent="0.25">
      <c r="A95" s="29">
        <v>43559</v>
      </c>
      <c r="B95">
        <f>VALUE(TEXT(Date[[#This Row],[DATE]],"M"))</f>
        <v>4</v>
      </c>
      <c r="C95" t="str">
        <f>TEXT(Date[[#This Row],[DATE]],"MMM")</f>
        <v>Apr</v>
      </c>
      <c r="D95">
        <f>VALUE(TEXT(Date[[#This Row],[DATE]],"YYYY"))</f>
        <v>2019</v>
      </c>
      <c r="E95">
        <f>Date[[#This Row],[YEAR]]+(Date[[#This Row],[MONTH_NUMBER]]/100)</f>
        <v>2019.04</v>
      </c>
    </row>
    <row r="96" spans="1:5" x14ac:dyDescent="0.25">
      <c r="A96" s="29">
        <v>43560</v>
      </c>
      <c r="B96">
        <f>VALUE(TEXT(Date[[#This Row],[DATE]],"M"))</f>
        <v>4</v>
      </c>
      <c r="C96" t="str">
        <f>TEXT(Date[[#This Row],[DATE]],"MMM")</f>
        <v>Apr</v>
      </c>
      <c r="D96">
        <f>VALUE(TEXT(Date[[#This Row],[DATE]],"YYYY"))</f>
        <v>2019</v>
      </c>
      <c r="E96">
        <f>Date[[#This Row],[YEAR]]+(Date[[#This Row],[MONTH_NUMBER]]/100)</f>
        <v>2019.04</v>
      </c>
    </row>
    <row r="97" spans="1:5" x14ac:dyDescent="0.25">
      <c r="A97" s="29">
        <v>43561</v>
      </c>
      <c r="B97">
        <f>VALUE(TEXT(Date[[#This Row],[DATE]],"M"))</f>
        <v>4</v>
      </c>
      <c r="C97" t="str">
        <f>TEXT(Date[[#This Row],[DATE]],"MMM")</f>
        <v>Apr</v>
      </c>
      <c r="D97">
        <f>VALUE(TEXT(Date[[#This Row],[DATE]],"YYYY"))</f>
        <v>2019</v>
      </c>
      <c r="E97">
        <f>Date[[#This Row],[YEAR]]+(Date[[#This Row],[MONTH_NUMBER]]/100)</f>
        <v>2019.04</v>
      </c>
    </row>
    <row r="98" spans="1:5" x14ac:dyDescent="0.25">
      <c r="A98" s="29">
        <v>43562</v>
      </c>
      <c r="B98">
        <f>VALUE(TEXT(Date[[#This Row],[DATE]],"M"))</f>
        <v>4</v>
      </c>
      <c r="C98" t="str">
        <f>TEXT(Date[[#This Row],[DATE]],"MMM")</f>
        <v>Apr</v>
      </c>
      <c r="D98">
        <f>VALUE(TEXT(Date[[#This Row],[DATE]],"YYYY"))</f>
        <v>2019</v>
      </c>
      <c r="E98">
        <f>Date[[#This Row],[YEAR]]+(Date[[#This Row],[MONTH_NUMBER]]/100)</f>
        <v>2019.04</v>
      </c>
    </row>
    <row r="99" spans="1:5" x14ac:dyDescent="0.25">
      <c r="A99" s="29">
        <v>43563</v>
      </c>
      <c r="B99">
        <f>VALUE(TEXT(Date[[#This Row],[DATE]],"M"))</f>
        <v>4</v>
      </c>
      <c r="C99" t="str">
        <f>TEXT(Date[[#This Row],[DATE]],"MMM")</f>
        <v>Apr</v>
      </c>
      <c r="D99">
        <f>VALUE(TEXT(Date[[#This Row],[DATE]],"YYYY"))</f>
        <v>2019</v>
      </c>
      <c r="E99">
        <f>Date[[#This Row],[YEAR]]+(Date[[#This Row],[MONTH_NUMBER]]/100)</f>
        <v>2019.04</v>
      </c>
    </row>
    <row r="100" spans="1:5" x14ac:dyDescent="0.25">
      <c r="A100" s="29">
        <v>43564</v>
      </c>
      <c r="B100">
        <f>VALUE(TEXT(Date[[#This Row],[DATE]],"M"))</f>
        <v>4</v>
      </c>
      <c r="C100" t="str">
        <f>TEXT(Date[[#This Row],[DATE]],"MMM")</f>
        <v>Apr</v>
      </c>
      <c r="D100">
        <f>VALUE(TEXT(Date[[#This Row],[DATE]],"YYYY"))</f>
        <v>2019</v>
      </c>
      <c r="E100">
        <f>Date[[#This Row],[YEAR]]+(Date[[#This Row],[MONTH_NUMBER]]/100)</f>
        <v>2019.04</v>
      </c>
    </row>
    <row r="101" spans="1:5" x14ac:dyDescent="0.25">
      <c r="A101" s="29">
        <v>43565</v>
      </c>
      <c r="B101">
        <f>VALUE(TEXT(Date[[#This Row],[DATE]],"M"))</f>
        <v>4</v>
      </c>
      <c r="C101" t="str">
        <f>TEXT(Date[[#This Row],[DATE]],"MMM")</f>
        <v>Apr</v>
      </c>
      <c r="D101">
        <f>VALUE(TEXT(Date[[#This Row],[DATE]],"YYYY"))</f>
        <v>2019</v>
      </c>
      <c r="E101">
        <f>Date[[#This Row],[YEAR]]+(Date[[#This Row],[MONTH_NUMBER]]/100)</f>
        <v>2019.04</v>
      </c>
    </row>
    <row r="102" spans="1:5" x14ac:dyDescent="0.25">
      <c r="A102" s="29">
        <v>43566</v>
      </c>
      <c r="B102">
        <f>VALUE(TEXT(Date[[#This Row],[DATE]],"M"))</f>
        <v>4</v>
      </c>
      <c r="C102" t="str">
        <f>TEXT(Date[[#This Row],[DATE]],"MMM")</f>
        <v>Apr</v>
      </c>
      <c r="D102">
        <f>VALUE(TEXT(Date[[#This Row],[DATE]],"YYYY"))</f>
        <v>2019</v>
      </c>
      <c r="E102">
        <f>Date[[#This Row],[YEAR]]+(Date[[#This Row],[MONTH_NUMBER]]/100)</f>
        <v>2019.04</v>
      </c>
    </row>
    <row r="103" spans="1:5" x14ac:dyDescent="0.25">
      <c r="A103" s="29">
        <v>43567</v>
      </c>
      <c r="B103">
        <f>VALUE(TEXT(Date[[#This Row],[DATE]],"M"))</f>
        <v>4</v>
      </c>
      <c r="C103" t="str">
        <f>TEXT(Date[[#This Row],[DATE]],"MMM")</f>
        <v>Apr</v>
      </c>
      <c r="D103">
        <f>VALUE(TEXT(Date[[#This Row],[DATE]],"YYYY"))</f>
        <v>2019</v>
      </c>
      <c r="E103">
        <f>Date[[#This Row],[YEAR]]+(Date[[#This Row],[MONTH_NUMBER]]/100)</f>
        <v>2019.04</v>
      </c>
    </row>
    <row r="104" spans="1:5" x14ac:dyDescent="0.25">
      <c r="A104" s="29">
        <v>43568</v>
      </c>
      <c r="B104">
        <f>VALUE(TEXT(Date[[#This Row],[DATE]],"M"))</f>
        <v>4</v>
      </c>
      <c r="C104" t="str">
        <f>TEXT(Date[[#This Row],[DATE]],"MMM")</f>
        <v>Apr</v>
      </c>
      <c r="D104">
        <f>VALUE(TEXT(Date[[#This Row],[DATE]],"YYYY"))</f>
        <v>2019</v>
      </c>
      <c r="E104">
        <f>Date[[#This Row],[YEAR]]+(Date[[#This Row],[MONTH_NUMBER]]/100)</f>
        <v>2019.04</v>
      </c>
    </row>
    <row r="105" spans="1:5" x14ac:dyDescent="0.25">
      <c r="A105" s="29">
        <v>43569</v>
      </c>
      <c r="B105">
        <f>VALUE(TEXT(Date[[#This Row],[DATE]],"M"))</f>
        <v>4</v>
      </c>
      <c r="C105" t="str">
        <f>TEXT(Date[[#This Row],[DATE]],"MMM")</f>
        <v>Apr</v>
      </c>
      <c r="D105">
        <f>VALUE(TEXT(Date[[#This Row],[DATE]],"YYYY"))</f>
        <v>2019</v>
      </c>
      <c r="E105">
        <f>Date[[#This Row],[YEAR]]+(Date[[#This Row],[MONTH_NUMBER]]/100)</f>
        <v>2019.04</v>
      </c>
    </row>
    <row r="106" spans="1:5" x14ac:dyDescent="0.25">
      <c r="A106" s="29">
        <v>43570</v>
      </c>
      <c r="B106">
        <f>VALUE(TEXT(Date[[#This Row],[DATE]],"M"))</f>
        <v>4</v>
      </c>
      <c r="C106" t="str">
        <f>TEXT(Date[[#This Row],[DATE]],"MMM")</f>
        <v>Apr</v>
      </c>
      <c r="D106">
        <f>VALUE(TEXT(Date[[#This Row],[DATE]],"YYYY"))</f>
        <v>2019</v>
      </c>
      <c r="E106">
        <f>Date[[#This Row],[YEAR]]+(Date[[#This Row],[MONTH_NUMBER]]/100)</f>
        <v>2019.04</v>
      </c>
    </row>
    <row r="107" spans="1:5" x14ac:dyDescent="0.25">
      <c r="A107" s="29">
        <v>43571</v>
      </c>
      <c r="B107">
        <f>VALUE(TEXT(Date[[#This Row],[DATE]],"M"))</f>
        <v>4</v>
      </c>
      <c r="C107" t="str">
        <f>TEXT(Date[[#This Row],[DATE]],"MMM")</f>
        <v>Apr</v>
      </c>
      <c r="D107">
        <f>VALUE(TEXT(Date[[#This Row],[DATE]],"YYYY"))</f>
        <v>2019</v>
      </c>
      <c r="E107">
        <f>Date[[#This Row],[YEAR]]+(Date[[#This Row],[MONTH_NUMBER]]/100)</f>
        <v>2019.04</v>
      </c>
    </row>
    <row r="108" spans="1:5" x14ac:dyDescent="0.25">
      <c r="A108" s="29">
        <v>43572</v>
      </c>
      <c r="B108">
        <f>VALUE(TEXT(Date[[#This Row],[DATE]],"M"))</f>
        <v>4</v>
      </c>
      <c r="C108" t="str">
        <f>TEXT(Date[[#This Row],[DATE]],"MMM")</f>
        <v>Apr</v>
      </c>
      <c r="D108">
        <f>VALUE(TEXT(Date[[#This Row],[DATE]],"YYYY"))</f>
        <v>2019</v>
      </c>
      <c r="E108">
        <f>Date[[#This Row],[YEAR]]+(Date[[#This Row],[MONTH_NUMBER]]/100)</f>
        <v>2019.04</v>
      </c>
    </row>
    <row r="109" spans="1:5" x14ac:dyDescent="0.25">
      <c r="A109" s="29">
        <v>43573</v>
      </c>
      <c r="B109">
        <f>VALUE(TEXT(Date[[#This Row],[DATE]],"M"))</f>
        <v>4</v>
      </c>
      <c r="C109" t="str">
        <f>TEXT(Date[[#This Row],[DATE]],"MMM")</f>
        <v>Apr</v>
      </c>
      <c r="D109">
        <f>VALUE(TEXT(Date[[#This Row],[DATE]],"YYYY"))</f>
        <v>2019</v>
      </c>
      <c r="E109">
        <f>Date[[#This Row],[YEAR]]+(Date[[#This Row],[MONTH_NUMBER]]/100)</f>
        <v>2019.04</v>
      </c>
    </row>
    <row r="110" spans="1:5" x14ac:dyDescent="0.25">
      <c r="A110" s="29">
        <v>43574</v>
      </c>
      <c r="B110">
        <f>VALUE(TEXT(Date[[#This Row],[DATE]],"M"))</f>
        <v>4</v>
      </c>
      <c r="C110" t="str">
        <f>TEXT(Date[[#This Row],[DATE]],"MMM")</f>
        <v>Apr</v>
      </c>
      <c r="D110">
        <f>VALUE(TEXT(Date[[#This Row],[DATE]],"YYYY"))</f>
        <v>2019</v>
      </c>
      <c r="E110">
        <f>Date[[#This Row],[YEAR]]+(Date[[#This Row],[MONTH_NUMBER]]/100)</f>
        <v>2019.04</v>
      </c>
    </row>
    <row r="111" spans="1:5" x14ac:dyDescent="0.25">
      <c r="A111" s="29">
        <v>43575</v>
      </c>
      <c r="B111">
        <f>VALUE(TEXT(Date[[#This Row],[DATE]],"M"))</f>
        <v>4</v>
      </c>
      <c r="C111" t="str">
        <f>TEXT(Date[[#This Row],[DATE]],"MMM")</f>
        <v>Apr</v>
      </c>
      <c r="D111">
        <f>VALUE(TEXT(Date[[#This Row],[DATE]],"YYYY"))</f>
        <v>2019</v>
      </c>
      <c r="E111">
        <f>Date[[#This Row],[YEAR]]+(Date[[#This Row],[MONTH_NUMBER]]/100)</f>
        <v>2019.04</v>
      </c>
    </row>
    <row r="112" spans="1:5" x14ac:dyDescent="0.25">
      <c r="A112" s="29">
        <v>43576</v>
      </c>
      <c r="B112">
        <f>VALUE(TEXT(Date[[#This Row],[DATE]],"M"))</f>
        <v>4</v>
      </c>
      <c r="C112" t="str">
        <f>TEXT(Date[[#This Row],[DATE]],"MMM")</f>
        <v>Apr</v>
      </c>
      <c r="D112">
        <f>VALUE(TEXT(Date[[#This Row],[DATE]],"YYYY"))</f>
        <v>2019</v>
      </c>
      <c r="E112">
        <f>Date[[#This Row],[YEAR]]+(Date[[#This Row],[MONTH_NUMBER]]/100)</f>
        <v>2019.04</v>
      </c>
    </row>
    <row r="113" spans="1:5" x14ac:dyDescent="0.25">
      <c r="A113" s="29">
        <v>43577</v>
      </c>
      <c r="B113">
        <f>VALUE(TEXT(Date[[#This Row],[DATE]],"M"))</f>
        <v>4</v>
      </c>
      <c r="C113" t="str">
        <f>TEXT(Date[[#This Row],[DATE]],"MMM")</f>
        <v>Apr</v>
      </c>
      <c r="D113">
        <f>VALUE(TEXT(Date[[#This Row],[DATE]],"YYYY"))</f>
        <v>2019</v>
      </c>
      <c r="E113">
        <f>Date[[#This Row],[YEAR]]+(Date[[#This Row],[MONTH_NUMBER]]/100)</f>
        <v>2019.04</v>
      </c>
    </row>
    <row r="114" spans="1:5" x14ac:dyDescent="0.25">
      <c r="A114" s="29">
        <v>43578</v>
      </c>
      <c r="B114">
        <f>VALUE(TEXT(Date[[#This Row],[DATE]],"M"))</f>
        <v>4</v>
      </c>
      <c r="C114" t="str">
        <f>TEXT(Date[[#This Row],[DATE]],"MMM")</f>
        <v>Apr</v>
      </c>
      <c r="D114">
        <f>VALUE(TEXT(Date[[#This Row],[DATE]],"YYYY"))</f>
        <v>2019</v>
      </c>
      <c r="E114">
        <f>Date[[#This Row],[YEAR]]+(Date[[#This Row],[MONTH_NUMBER]]/100)</f>
        <v>2019.04</v>
      </c>
    </row>
    <row r="115" spans="1:5" x14ac:dyDescent="0.25">
      <c r="A115" s="29">
        <v>43579</v>
      </c>
      <c r="B115">
        <f>VALUE(TEXT(Date[[#This Row],[DATE]],"M"))</f>
        <v>4</v>
      </c>
      <c r="C115" t="str">
        <f>TEXT(Date[[#This Row],[DATE]],"MMM")</f>
        <v>Apr</v>
      </c>
      <c r="D115">
        <f>VALUE(TEXT(Date[[#This Row],[DATE]],"YYYY"))</f>
        <v>2019</v>
      </c>
      <c r="E115">
        <f>Date[[#This Row],[YEAR]]+(Date[[#This Row],[MONTH_NUMBER]]/100)</f>
        <v>2019.04</v>
      </c>
    </row>
    <row r="116" spans="1:5" x14ac:dyDescent="0.25">
      <c r="A116" s="29">
        <v>43580</v>
      </c>
      <c r="B116">
        <f>VALUE(TEXT(Date[[#This Row],[DATE]],"M"))</f>
        <v>4</v>
      </c>
      <c r="C116" t="str">
        <f>TEXT(Date[[#This Row],[DATE]],"MMM")</f>
        <v>Apr</v>
      </c>
      <c r="D116">
        <f>VALUE(TEXT(Date[[#This Row],[DATE]],"YYYY"))</f>
        <v>2019</v>
      </c>
      <c r="E116">
        <f>Date[[#This Row],[YEAR]]+(Date[[#This Row],[MONTH_NUMBER]]/100)</f>
        <v>2019.04</v>
      </c>
    </row>
    <row r="117" spans="1:5" x14ac:dyDescent="0.25">
      <c r="A117" s="29">
        <v>43581</v>
      </c>
      <c r="B117">
        <f>VALUE(TEXT(Date[[#This Row],[DATE]],"M"))</f>
        <v>4</v>
      </c>
      <c r="C117" t="str">
        <f>TEXT(Date[[#This Row],[DATE]],"MMM")</f>
        <v>Apr</v>
      </c>
      <c r="D117">
        <f>VALUE(TEXT(Date[[#This Row],[DATE]],"YYYY"))</f>
        <v>2019</v>
      </c>
      <c r="E117">
        <f>Date[[#This Row],[YEAR]]+(Date[[#This Row],[MONTH_NUMBER]]/100)</f>
        <v>2019.04</v>
      </c>
    </row>
    <row r="118" spans="1:5" x14ac:dyDescent="0.25">
      <c r="A118" s="29">
        <v>43582</v>
      </c>
      <c r="B118">
        <f>VALUE(TEXT(Date[[#This Row],[DATE]],"M"))</f>
        <v>4</v>
      </c>
      <c r="C118" t="str">
        <f>TEXT(Date[[#This Row],[DATE]],"MMM")</f>
        <v>Apr</v>
      </c>
      <c r="D118">
        <f>VALUE(TEXT(Date[[#This Row],[DATE]],"YYYY"))</f>
        <v>2019</v>
      </c>
      <c r="E118">
        <f>Date[[#This Row],[YEAR]]+(Date[[#This Row],[MONTH_NUMBER]]/100)</f>
        <v>2019.04</v>
      </c>
    </row>
    <row r="119" spans="1:5" x14ac:dyDescent="0.25">
      <c r="A119" s="29">
        <v>43583</v>
      </c>
      <c r="B119">
        <f>VALUE(TEXT(Date[[#This Row],[DATE]],"M"))</f>
        <v>4</v>
      </c>
      <c r="C119" t="str">
        <f>TEXT(Date[[#This Row],[DATE]],"MMM")</f>
        <v>Apr</v>
      </c>
      <c r="D119">
        <f>VALUE(TEXT(Date[[#This Row],[DATE]],"YYYY"))</f>
        <v>2019</v>
      </c>
      <c r="E119">
        <f>Date[[#This Row],[YEAR]]+(Date[[#This Row],[MONTH_NUMBER]]/100)</f>
        <v>2019.04</v>
      </c>
    </row>
    <row r="120" spans="1:5" x14ac:dyDescent="0.25">
      <c r="A120" s="29">
        <v>43584</v>
      </c>
      <c r="B120">
        <f>VALUE(TEXT(Date[[#This Row],[DATE]],"M"))</f>
        <v>4</v>
      </c>
      <c r="C120" t="str">
        <f>TEXT(Date[[#This Row],[DATE]],"MMM")</f>
        <v>Apr</v>
      </c>
      <c r="D120">
        <f>VALUE(TEXT(Date[[#This Row],[DATE]],"YYYY"))</f>
        <v>2019</v>
      </c>
      <c r="E120">
        <f>Date[[#This Row],[YEAR]]+(Date[[#This Row],[MONTH_NUMBER]]/100)</f>
        <v>2019.04</v>
      </c>
    </row>
    <row r="121" spans="1:5" x14ac:dyDescent="0.25">
      <c r="A121" s="29">
        <v>43585</v>
      </c>
      <c r="B121">
        <f>VALUE(TEXT(Date[[#This Row],[DATE]],"M"))</f>
        <v>4</v>
      </c>
      <c r="C121" t="str">
        <f>TEXT(Date[[#This Row],[DATE]],"MMM")</f>
        <v>Apr</v>
      </c>
      <c r="D121">
        <f>VALUE(TEXT(Date[[#This Row],[DATE]],"YYYY"))</f>
        <v>2019</v>
      </c>
      <c r="E121">
        <f>Date[[#This Row],[YEAR]]+(Date[[#This Row],[MONTH_NUMBER]]/100)</f>
        <v>2019.04</v>
      </c>
    </row>
    <row r="122" spans="1:5" x14ac:dyDescent="0.25">
      <c r="A122" s="29">
        <v>43586</v>
      </c>
      <c r="B122">
        <f>VALUE(TEXT(Date[[#This Row],[DATE]],"M"))</f>
        <v>5</v>
      </c>
      <c r="C122" t="str">
        <f>TEXT(Date[[#This Row],[DATE]],"MMM")</f>
        <v>May</v>
      </c>
      <c r="D122">
        <f>VALUE(TEXT(Date[[#This Row],[DATE]],"YYYY"))</f>
        <v>2019</v>
      </c>
      <c r="E122">
        <f>Date[[#This Row],[YEAR]]+(Date[[#This Row],[MONTH_NUMBER]]/100)</f>
        <v>2019.05</v>
      </c>
    </row>
    <row r="123" spans="1:5" x14ac:dyDescent="0.25">
      <c r="A123" s="29">
        <v>43587</v>
      </c>
      <c r="B123">
        <f>VALUE(TEXT(Date[[#This Row],[DATE]],"M"))</f>
        <v>5</v>
      </c>
      <c r="C123" t="str">
        <f>TEXT(Date[[#This Row],[DATE]],"MMM")</f>
        <v>May</v>
      </c>
      <c r="D123">
        <f>VALUE(TEXT(Date[[#This Row],[DATE]],"YYYY"))</f>
        <v>2019</v>
      </c>
      <c r="E123">
        <f>Date[[#This Row],[YEAR]]+(Date[[#This Row],[MONTH_NUMBER]]/100)</f>
        <v>2019.05</v>
      </c>
    </row>
    <row r="124" spans="1:5" x14ac:dyDescent="0.25">
      <c r="A124" s="29">
        <v>43588</v>
      </c>
      <c r="B124">
        <f>VALUE(TEXT(Date[[#This Row],[DATE]],"M"))</f>
        <v>5</v>
      </c>
      <c r="C124" t="str">
        <f>TEXT(Date[[#This Row],[DATE]],"MMM")</f>
        <v>May</v>
      </c>
      <c r="D124">
        <f>VALUE(TEXT(Date[[#This Row],[DATE]],"YYYY"))</f>
        <v>2019</v>
      </c>
      <c r="E124">
        <f>Date[[#This Row],[YEAR]]+(Date[[#This Row],[MONTH_NUMBER]]/100)</f>
        <v>2019.05</v>
      </c>
    </row>
    <row r="125" spans="1:5" x14ac:dyDescent="0.25">
      <c r="A125" s="29">
        <v>43589</v>
      </c>
      <c r="B125">
        <f>VALUE(TEXT(Date[[#This Row],[DATE]],"M"))</f>
        <v>5</v>
      </c>
      <c r="C125" t="str">
        <f>TEXT(Date[[#This Row],[DATE]],"MMM")</f>
        <v>May</v>
      </c>
      <c r="D125">
        <f>VALUE(TEXT(Date[[#This Row],[DATE]],"YYYY"))</f>
        <v>2019</v>
      </c>
      <c r="E125">
        <f>Date[[#This Row],[YEAR]]+(Date[[#This Row],[MONTH_NUMBER]]/100)</f>
        <v>2019.05</v>
      </c>
    </row>
    <row r="126" spans="1:5" x14ac:dyDescent="0.25">
      <c r="A126" s="29">
        <v>43590</v>
      </c>
      <c r="B126">
        <f>VALUE(TEXT(Date[[#This Row],[DATE]],"M"))</f>
        <v>5</v>
      </c>
      <c r="C126" t="str">
        <f>TEXT(Date[[#This Row],[DATE]],"MMM")</f>
        <v>May</v>
      </c>
      <c r="D126">
        <f>VALUE(TEXT(Date[[#This Row],[DATE]],"YYYY"))</f>
        <v>2019</v>
      </c>
      <c r="E126">
        <f>Date[[#This Row],[YEAR]]+(Date[[#This Row],[MONTH_NUMBER]]/100)</f>
        <v>2019.05</v>
      </c>
    </row>
    <row r="127" spans="1:5" x14ac:dyDescent="0.25">
      <c r="A127" s="29">
        <v>43591</v>
      </c>
      <c r="B127">
        <f>VALUE(TEXT(Date[[#This Row],[DATE]],"M"))</f>
        <v>5</v>
      </c>
      <c r="C127" t="str">
        <f>TEXT(Date[[#This Row],[DATE]],"MMM")</f>
        <v>May</v>
      </c>
      <c r="D127">
        <f>VALUE(TEXT(Date[[#This Row],[DATE]],"YYYY"))</f>
        <v>2019</v>
      </c>
      <c r="E127">
        <f>Date[[#This Row],[YEAR]]+(Date[[#This Row],[MONTH_NUMBER]]/100)</f>
        <v>2019.05</v>
      </c>
    </row>
    <row r="128" spans="1:5" x14ac:dyDescent="0.25">
      <c r="A128" s="29">
        <v>43592</v>
      </c>
      <c r="B128">
        <f>VALUE(TEXT(Date[[#This Row],[DATE]],"M"))</f>
        <v>5</v>
      </c>
      <c r="C128" t="str">
        <f>TEXT(Date[[#This Row],[DATE]],"MMM")</f>
        <v>May</v>
      </c>
      <c r="D128">
        <f>VALUE(TEXT(Date[[#This Row],[DATE]],"YYYY"))</f>
        <v>2019</v>
      </c>
      <c r="E128">
        <f>Date[[#This Row],[YEAR]]+(Date[[#This Row],[MONTH_NUMBER]]/100)</f>
        <v>2019.05</v>
      </c>
    </row>
    <row r="129" spans="1:5" x14ac:dyDescent="0.25">
      <c r="A129" s="29">
        <v>43593</v>
      </c>
      <c r="B129">
        <f>VALUE(TEXT(Date[[#This Row],[DATE]],"M"))</f>
        <v>5</v>
      </c>
      <c r="C129" t="str">
        <f>TEXT(Date[[#This Row],[DATE]],"MMM")</f>
        <v>May</v>
      </c>
      <c r="D129">
        <f>VALUE(TEXT(Date[[#This Row],[DATE]],"YYYY"))</f>
        <v>2019</v>
      </c>
      <c r="E129">
        <f>Date[[#This Row],[YEAR]]+(Date[[#This Row],[MONTH_NUMBER]]/100)</f>
        <v>2019.05</v>
      </c>
    </row>
    <row r="130" spans="1:5" x14ac:dyDescent="0.25">
      <c r="A130" s="29">
        <v>43594</v>
      </c>
      <c r="B130">
        <f>VALUE(TEXT(Date[[#This Row],[DATE]],"M"))</f>
        <v>5</v>
      </c>
      <c r="C130" t="str">
        <f>TEXT(Date[[#This Row],[DATE]],"MMM")</f>
        <v>May</v>
      </c>
      <c r="D130">
        <f>VALUE(TEXT(Date[[#This Row],[DATE]],"YYYY"))</f>
        <v>2019</v>
      </c>
      <c r="E130">
        <f>Date[[#This Row],[YEAR]]+(Date[[#This Row],[MONTH_NUMBER]]/100)</f>
        <v>2019.05</v>
      </c>
    </row>
    <row r="131" spans="1:5" x14ac:dyDescent="0.25">
      <c r="A131" s="29">
        <v>43595</v>
      </c>
      <c r="B131">
        <f>VALUE(TEXT(Date[[#This Row],[DATE]],"M"))</f>
        <v>5</v>
      </c>
      <c r="C131" t="str">
        <f>TEXT(Date[[#This Row],[DATE]],"MMM")</f>
        <v>May</v>
      </c>
      <c r="D131">
        <f>VALUE(TEXT(Date[[#This Row],[DATE]],"YYYY"))</f>
        <v>2019</v>
      </c>
      <c r="E131">
        <f>Date[[#This Row],[YEAR]]+(Date[[#This Row],[MONTH_NUMBER]]/100)</f>
        <v>2019.05</v>
      </c>
    </row>
    <row r="132" spans="1:5" x14ac:dyDescent="0.25">
      <c r="A132" s="29">
        <v>43596</v>
      </c>
      <c r="B132">
        <f>VALUE(TEXT(Date[[#This Row],[DATE]],"M"))</f>
        <v>5</v>
      </c>
      <c r="C132" t="str">
        <f>TEXT(Date[[#This Row],[DATE]],"MMM")</f>
        <v>May</v>
      </c>
      <c r="D132">
        <f>VALUE(TEXT(Date[[#This Row],[DATE]],"YYYY"))</f>
        <v>2019</v>
      </c>
      <c r="E132">
        <f>Date[[#This Row],[YEAR]]+(Date[[#This Row],[MONTH_NUMBER]]/100)</f>
        <v>2019.05</v>
      </c>
    </row>
    <row r="133" spans="1:5" x14ac:dyDescent="0.25">
      <c r="A133" s="29">
        <v>43597</v>
      </c>
      <c r="B133">
        <f>VALUE(TEXT(Date[[#This Row],[DATE]],"M"))</f>
        <v>5</v>
      </c>
      <c r="C133" t="str">
        <f>TEXT(Date[[#This Row],[DATE]],"MMM")</f>
        <v>May</v>
      </c>
      <c r="D133">
        <f>VALUE(TEXT(Date[[#This Row],[DATE]],"YYYY"))</f>
        <v>2019</v>
      </c>
      <c r="E133">
        <f>Date[[#This Row],[YEAR]]+(Date[[#This Row],[MONTH_NUMBER]]/100)</f>
        <v>2019.05</v>
      </c>
    </row>
    <row r="134" spans="1:5" x14ac:dyDescent="0.25">
      <c r="A134" s="29">
        <v>43598</v>
      </c>
      <c r="B134">
        <f>VALUE(TEXT(Date[[#This Row],[DATE]],"M"))</f>
        <v>5</v>
      </c>
      <c r="C134" t="str">
        <f>TEXT(Date[[#This Row],[DATE]],"MMM")</f>
        <v>May</v>
      </c>
      <c r="D134">
        <f>VALUE(TEXT(Date[[#This Row],[DATE]],"YYYY"))</f>
        <v>2019</v>
      </c>
      <c r="E134">
        <f>Date[[#This Row],[YEAR]]+(Date[[#This Row],[MONTH_NUMBER]]/100)</f>
        <v>2019.05</v>
      </c>
    </row>
    <row r="135" spans="1:5" x14ac:dyDescent="0.25">
      <c r="A135" s="29">
        <v>43599</v>
      </c>
      <c r="B135">
        <f>VALUE(TEXT(Date[[#This Row],[DATE]],"M"))</f>
        <v>5</v>
      </c>
      <c r="C135" t="str">
        <f>TEXT(Date[[#This Row],[DATE]],"MMM")</f>
        <v>May</v>
      </c>
      <c r="D135">
        <f>VALUE(TEXT(Date[[#This Row],[DATE]],"YYYY"))</f>
        <v>2019</v>
      </c>
      <c r="E135">
        <f>Date[[#This Row],[YEAR]]+(Date[[#This Row],[MONTH_NUMBER]]/100)</f>
        <v>2019.05</v>
      </c>
    </row>
    <row r="136" spans="1:5" x14ac:dyDescent="0.25">
      <c r="A136" s="29">
        <v>43600</v>
      </c>
      <c r="B136">
        <f>VALUE(TEXT(Date[[#This Row],[DATE]],"M"))</f>
        <v>5</v>
      </c>
      <c r="C136" t="str">
        <f>TEXT(Date[[#This Row],[DATE]],"MMM")</f>
        <v>May</v>
      </c>
      <c r="D136">
        <f>VALUE(TEXT(Date[[#This Row],[DATE]],"YYYY"))</f>
        <v>2019</v>
      </c>
      <c r="E136">
        <f>Date[[#This Row],[YEAR]]+(Date[[#This Row],[MONTH_NUMBER]]/100)</f>
        <v>2019.05</v>
      </c>
    </row>
    <row r="137" spans="1:5" x14ac:dyDescent="0.25">
      <c r="A137" s="29">
        <v>43601</v>
      </c>
      <c r="B137">
        <f>VALUE(TEXT(Date[[#This Row],[DATE]],"M"))</f>
        <v>5</v>
      </c>
      <c r="C137" t="str">
        <f>TEXT(Date[[#This Row],[DATE]],"MMM")</f>
        <v>May</v>
      </c>
      <c r="D137">
        <f>VALUE(TEXT(Date[[#This Row],[DATE]],"YYYY"))</f>
        <v>2019</v>
      </c>
      <c r="E137">
        <f>Date[[#This Row],[YEAR]]+(Date[[#This Row],[MONTH_NUMBER]]/100)</f>
        <v>2019.05</v>
      </c>
    </row>
    <row r="138" spans="1:5" x14ac:dyDescent="0.25">
      <c r="A138" s="29">
        <v>43602</v>
      </c>
      <c r="B138">
        <f>VALUE(TEXT(Date[[#This Row],[DATE]],"M"))</f>
        <v>5</v>
      </c>
      <c r="C138" t="str">
        <f>TEXT(Date[[#This Row],[DATE]],"MMM")</f>
        <v>May</v>
      </c>
      <c r="D138">
        <f>VALUE(TEXT(Date[[#This Row],[DATE]],"YYYY"))</f>
        <v>2019</v>
      </c>
      <c r="E138">
        <f>Date[[#This Row],[YEAR]]+(Date[[#This Row],[MONTH_NUMBER]]/100)</f>
        <v>2019.05</v>
      </c>
    </row>
    <row r="139" spans="1:5" x14ac:dyDescent="0.25">
      <c r="A139" s="29">
        <v>43603</v>
      </c>
      <c r="B139">
        <f>VALUE(TEXT(Date[[#This Row],[DATE]],"M"))</f>
        <v>5</v>
      </c>
      <c r="C139" t="str">
        <f>TEXT(Date[[#This Row],[DATE]],"MMM")</f>
        <v>May</v>
      </c>
      <c r="D139">
        <f>VALUE(TEXT(Date[[#This Row],[DATE]],"YYYY"))</f>
        <v>2019</v>
      </c>
      <c r="E139">
        <f>Date[[#This Row],[YEAR]]+(Date[[#This Row],[MONTH_NUMBER]]/100)</f>
        <v>2019.05</v>
      </c>
    </row>
    <row r="140" spans="1:5" x14ac:dyDescent="0.25">
      <c r="A140" s="29">
        <v>43604</v>
      </c>
      <c r="B140">
        <f>VALUE(TEXT(Date[[#This Row],[DATE]],"M"))</f>
        <v>5</v>
      </c>
      <c r="C140" t="str">
        <f>TEXT(Date[[#This Row],[DATE]],"MMM")</f>
        <v>May</v>
      </c>
      <c r="D140">
        <f>VALUE(TEXT(Date[[#This Row],[DATE]],"YYYY"))</f>
        <v>2019</v>
      </c>
      <c r="E140">
        <f>Date[[#This Row],[YEAR]]+(Date[[#This Row],[MONTH_NUMBER]]/100)</f>
        <v>2019.05</v>
      </c>
    </row>
    <row r="141" spans="1:5" x14ac:dyDescent="0.25">
      <c r="A141" s="29">
        <v>43605</v>
      </c>
      <c r="B141">
        <f>VALUE(TEXT(Date[[#This Row],[DATE]],"M"))</f>
        <v>5</v>
      </c>
      <c r="C141" t="str">
        <f>TEXT(Date[[#This Row],[DATE]],"MMM")</f>
        <v>May</v>
      </c>
      <c r="D141">
        <f>VALUE(TEXT(Date[[#This Row],[DATE]],"YYYY"))</f>
        <v>2019</v>
      </c>
      <c r="E141">
        <f>Date[[#This Row],[YEAR]]+(Date[[#This Row],[MONTH_NUMBER]]/100)</f>
        <v>2019.05</v>
      </c>
    </row>
    <row r="142" spans="1:5" x14ac:dyDescent="0.25">
      <c r="A142" s="29">
        <v>43606</v>
      </c>
      <c r="B142">
        <f>VALUE(TEXT(Date[[#This Row],[DATE]],"M"))</f>
        <v>5</v>
      </c>
      <c r="C142" t="str">
        <f>TEXT(Date[[#This Row],[DATE]],"MMM")</f>
        <v>May</v>
      </c>
      <c r="D142">
        <f>VALUE(TEXT(Date[[#This Row],[DATE]],"YYYY"))</f>
        <v>2019</v>
      </c>
      <c r="E142">
        <f>Date[[#This Row],[YEAR]]+(Date[[#This Row],[MONTH_NUMBER]]/100)</f>
        <v>2019.05</v>
      </c>
    </row>
    <row r="143" spans="1:5" x14ac:dyDescent="0.25">
      <c r="A143" s="29">
        <v>43607</v>
      </c>
      <c r="B143">
        <f>VALUE(TEXT(Date[[#This Row],[DATE]],"M"))</f>
        <v>5</v>
      </c>
      <c r="C143" t="str">
        <f>TEXT(Date[[#This Row],[DATE]],"MMM")</f>
        <v>May</v>
      </c>
      <c r="D143">
        <f>VALUE(TEXT(Date[[#This Row],[DATE]],"YYYY"))</f>
        <v>2019</v>
      </c>
      <c r="E143">
        <f>Date[[#This Row],[YEAR]]+(Date[[#This Row],[MONTH_NUMBER]]/100)</f>
        <v>2019.05</v>
      </c>
    </row>
    <row r="144" spans="1:5" x14ac:dyDescent="0.25">
      <c r="A144" s="29">
        <v>43608</v>
      </c>
      <c r="B144">
        <f>VALUE(TEXT(Date[[#This Row],[DATE]],"M"))</f>
        <v>5</v>
      </c>
      <c r="C144" t="str">
        <f>TEXT(Date[[#This Row],[DATE]],"MMM")</f>
        <v>May</v>
      </c>
      <c r="D144">
        <f>VALUE(TEXT(Date[[#This Row],[DATE]],"YYYY"))</f>
        <v>2019</v>
      </c>
      <c r="E144">
        <f>Date[[#This Row],[YEAR]]+(Date[[#This Row],[MONTH_NUMBER]]/100)</f>
        <v>2019.05</v>
      </c>
    </row>
    <row r="145" spans="1:5" x14ac:dyDescent="0.25">
      <c r="A145" s="29">
        <v>43609</v>
      </c>
      <c r="B145">
        <f>VALUE(TEXT(Date[[#This Row],[DATE]],"M"))</f>
        <v>5</v>
      </c>
      <c r="C145" t="str">
        <f>TEXT(Date[[#This Row],[DATE]],"MMM")</f>
        <v>May</v>
      </c>
      <c r="D145">
        <f>VALUE(TEXT(Date[[#This Row],[DATE]],"YYYY"))</f>
        <v>2019</v>
      </c>
      <c r="E145">
        <f>Date[[#This Row],[YEAR]]+(Date[[#This Row],[MONTH_NUMBER]]/100)</f>
        <v>2019.05</v>
      </c>
    </row>
    <row r="146" spans="1:5" x14ac:dyDescent="0.25">
      <c r="A146" s="29">
        <v>43610</v>
      </c>
      <c r="B146">
        <f>VALUE(TEXT(Date[[#This Row],[DATE]],"M"))</f>
        <v>5</v>
      </c>
      <c r="C146" t="str">
        <f>TEXT(Date[[#This Row],[DATE]],"MMM")</f>
        <v>May</v>
      </c>
      <c r="D146">
        <f>VALUE(TEXT(Date[[#This Row],[DATE]],"YYYY"))</f>
        <v>2019</v>
      </c>
      <c r="E146">
        <f>Date[[#This Row],[YEAR]]+(Date[[#This Row],[MONTH_NUMBER]]/100)</f>
        <v>2019.05</v>
      </c>
    </row>
    <row r="147" spans="1:5" x14ac:dyDescent="0.25">
      <c r="A147" s="29">
        <v>43611</v>
      </c>
      <c r="B147">
        <f>VALUE(TEXT(Date[[#This Row],[DATE]],"M"))</f>
        <v>5</v>
      </c>
      <c r="C147" t="str">
        <f>TEXT(Date[[#This Row],[DATE]],"MMM")</f>
        <v>May</v>
      </c>
      <c r="D147">
        <f>VALUE(TEXT(Date[[#This Row],[DATE]],"YYYY"))</f>
        <v>2019</v>
      </c>
      <c r="E147">
        <f>Date[[#This Row],[YEAR]]+(Date[[#This Row],[MONTH_NUMBER]]/100)</f>
        <v>2019.05</v>
      </c>
    </row>
    <row r="148" spans="1:5" x14ac:dyDescent="0.25">
      <c r="A148" s="29">
        <v>43612</v>
      </c>
      <c r="B148">
        <f>VALUE(TEXT(Date[[#This Row],[DATE]],"M"))</f>
        <v>5</v>
      </c>
      <c r="C148" t="str">
        <f>TEXT(Date[[#This Row],[DATE]],"MMM")</f>
        <v>May</v>
      </c>
      <c r="D148">
        <f>VALUE(TEXT(Date[[#This Row],[DATE]],"YYYY"))</f>
        <v>2019</v>
      </c>
      <c r="E148">
        <f>Date[[#This Row],[YEAR]]+(Date[[#This Row],[MONTH_NUMBER]]/100)</f>
        <v>2019.05</v>
      </c>
    </row>
    <row r="149" spans="1:5" x14ac:dyDescent="0.25">
      <c r="A149" s="29">
        <v>43613</v>
      </c>
      <c r="B149">
        <f>VALUE(TEXT(Date[[#This Row],[DATE]],"M"))</f>
        <v>5</v>
      </c>
      <c r="C149" t="str">
        <f>TEXT(Date[[#This Row],[DATE]],"MMM")</f>
        <v>May</v>
      </c>
      <c r="D149">
        <f>VALUE(TEXT(Date[[#This Row],[DATE]],"YYYY"))</f>
        <v>2019</v>
      </c>
      <c r="E149">
        <f>Date[[#This Row],[YEAR]]+(Date[[#This Row],[MONTH_NUMBER]]/100)</f>
        <v>2019.05</v>
      </c>
    </row>
    <row r="150" spans="1:5" x14ac:dyDescent="0.25">
      <c r="A150" s="29">
        <v>43614</v>
      </c>
      <c r="B150">
        <f>VALUE(TEXT(Date[[#This Row],[DATE]],"M"))</f>
        <v>5</v>
      </c>
      <c r="C150" t="str">
        <f>TEXT(Date[[#This Row],[DATE]],"MMM")</f>
        <v>May</v>
      </c>
      <c r="D150">
        <f>VALUE(TEXT(Date[[#This Row],[DATE]],"YYYY"))</f>
        <v>2019</v>
      </c>
      <c r="E150">
        <f>Date[[#This Row],[YEAR]]+(Date[[#This Row],[MONTH_NUMBER]]/100)</f>
        <v>2019.05</v>
      </c>
    </row>
    <row r="151" spans="1:5" x14ac:dyDescent="0.25">
      <c r="A151" s="29">
        <v>43615</v>
      </c>
      <c r="B151">
        <f>VALUE(TEXT(Date[[#This Row],[DATE]],"M"))</f>
        <v>5</v>
      </c>
      <c r="C151" t="str">
        <f>TEXT(Date[[#This Row],[DATE]],"MMM")</f>
        <v>May</v>
      </c>
      <c r="D151">
        <f>VALUE(TEXT(Date[[#This Row],[DATE]],"YYYY"))</f>
        <v>2019</v>
      </c>
      <c r="E151">
        <f>Date[[#This Row],[YEAR]]+(Date[[#This Row],[MONTH_NUMBER]]/100)</f>
        <v>2019.05</v>
      </c>
    </row>
    <row r="152" spans="1:5" x14ac:dyDescent="0.25">
      <c r="A152" s="29">
        <v>43616</v>
      </c>
      <c r="B152">
        <f>VALUE(TEXT(Date[[#This Row],[DATE]],"M"))</f>
        <v>5</v>
      </c>
      <c r="C152" t="str">
        <f>TEXT(Date[[#This Row],[DATE]],"MMM")</f>
        <v>May</v>
      </c>
      <c r="D152">
        <f>VALUE(TEXT(Date[[#This Row],[DATE]],"YYYY"))</f>
        <v>2019</v>
      </c>
      <c r="E152">
        <f>Date[[#This Row],[YEAR]]+(Date[[#This Row],[MONTH_NUMBER]]/100)</f>
        <v>2019.05</v>
      </c>
    </row>
    <row r="153" spans="1:5" x14ac:dyDescent="0.25">
      <c r="A153" s="29">
        <v>43617</v>
      </c>
      <c r="B153">
        <f>VALUE(TEXT(Date[[#This Row],[DATE]],"M"))</f>
        <v>6</v>
      </c>
      <c r="C153" t="str">
        <f>TEXT(Date[[#This Row],[DATE]],"MMM")</f>
        <v>Jun</v>
      </c>
      <c r="D153">
        <f>VALUE(TEXT(Date[[#This Row],[DATE]],"YYYY"))</f>
        <v>2019</v>
      </c>
      <c r="E153">
        <f>Date[[#This Row],[YEAR]]+(Date[[#This Row],[MONTH_NUMBER]]/100)</f>
        <v>2019.06</v>
      </c>
    </row>
    <row r="154" spans="1:5" x14ac:dyDescent="0.25">
      <c r="A154" s="29">
        <v>43618</v>
      </c>
      <c r="B154">
        <f>VALUE(TEXT(Date[[#This Row],[DATE]],"M"))</f>
        <v>6</v>
      </c>
      <c r="C154" t="str">
        <f>TEXT(Date[[#This Row],[DATE]],"MMM")</f>
        <v>Jun</v>
      </c>
      <c r="D154">
        <f>VALUE(TEXT(Date[[#This Row],[DATE]],"YYYY"))</f>
        <v>2019</v>
      </c>
      <c r="E154">
        <f>Date[[#This Row],[YEAR]]+(Date[[#This Row],[MONTH_NUMBER]]/100)</f>
        <v>2019.06</v>
      </c>
    </row>
    <row r="155" spans="1:5" x14ac:dyDescent="0.25">
      <c r="A155" s="29">
        <v>43619</v>
      </c>
      <c r="B155">
        <f>VALUE(TEXT(Date[[#This Row],[DATE]],"M"))</f>
        <v>6</v>
      </c>
      <c r="C155" t="str">
        <f>TEXT(Date[[#This Row],[DATE]],"MMM")</f>
        <v>Jun</v>
      </c>
      <c r="D155">
        <f>VALUE(TEXT(Date[[#This Row],[DATE]],"YYYY"))</f>
        <v>2019</v>
      </c>
      <c r="E155">
        <f>Date[[#This Row],[YEAR]]+(Date[[#This Row],[MONTH_NUMBER]]/100)</f>
        <v>2019.06</v>
      </c>
    </row>
    <row r="156" spans="1:5" x14ac:dyDescent="0.25">
      <c r="A156" s="29">
        <v>43620</v>
      </c>
      <c r="B156">
        <f>VALUE(TEXT(Date[[#This Row],[DATE]],"M"))</f>
        <v>6</v>
      </c>
      <c r="C156" t="str">
        <f>TEXT(Date[[#This Row],[DATE]],"MMM")</f>
        <v>Jun</v>
      </c>
      <c r="D156">
        <f>VALUE(TEXT(Date[[#This Row],[DATE]],"YYYY"))</f>
        <v>2019</v>
      </c>
      <c r="E156">
        <f>Date[[#This Row],[YEAR]]+(Date[[#This Row],[MONTH_NUMBER]]/100)</f>
        <v>2019.06</v>
      </c>
    </row>
    <row r="157" spans="1:5" x14ac:dyDescent="0.25">
      <c r="A157" s="29">
        <v>43621</v>
      </c>
      <c r="B157">
        <f>VALUE(TEXT(Date[[#This Row],[DATE]],"M"))</f>
        <v>6</v>
      </c>
      <c r="C157" t="str">
        <f>TEXT(Date[[#This Row],[DATE]],"MMM")</f>
        <v>Jun</v>
      </c>
      <c r="D157">
        <f>VALUE(TEXT(Date[[#This Row],[DATE]],"YYYY"))</f>
        <v>2019</v>
      </c>
      <c r="E157">
        <f>Date[[#This Row],[YEAR]]+(Date[[#This Row],[MONTH_NUMBER]]/100)</f>
        <v>2019.06</v>
      </c>
    </row>
    <row r="158" spans="1:5" x14ac:dyDescent="0.25">
      <c r="A158" s="29">
        <v>43622</v>
      </c>
      <c r="B158">
        <f>VALUE(TEXT(Date[[#This Row],[DATE]],"M"))</f>
        <v>6</v>
      </c>
      <c r="C158" t="str">
        <f>TEXT(Date[[#This Row],[DATE]],"MMM")</f>
        <v>Jun</v>
      </c>
      <c r="D158">
        <f>VALUE(TEXT(Date[[#This Row],[DATE]],"YYYY"))</f>
        <v>2019</v>
      </c>
      <c r="E158">
        <f>Date[[#This Row],[YEAR]]+(Date[[#This Row],[MONTH_NUMBER]]/100)</f>
        <v>2019.06</v>
      </c>
    </row>
    <row r="159" spans="1:5" x14ac:dyDescent="0.25">
      <c r="A159" s="29">
        <v>43623</v>
      </c>
      <c r="B159">
        <f>VALUE(TEXT(Date[[#This Row],[DATE]],"M"))</f>
        <v>6</v>
      </c>
      <c r="C159" t="str">
        <f>TEXT(Date[[#This Row],[DATE]],"MMM")</f>
        <v>Jun</v>
      </c>
      <c r="D159">
        <f>VALUE(TEXT(Date[[#This Row],[DATE]],"YYYY"))</f>
        <v>2019</v>
      </c>
      <c r="E159">
        <f>Date[[#This Row],[YEAR]]+(Date[[#This Row],[MONTH_NUMBER]]/100)</f>
        <v>2019.06</v>
      </c>
    </row>
    <row r="160" spans="1:5" x14ac:dyDescent="0.25">
      <c r="A160" s="29">
        <v>43624</v>
      </c>
      <c r="B160">
        <f>VALUE(TEXT(Date[[#This Row],[DATE]],"M"))</f>
        <v>6</v>
      </c>
      <c r="C160" t="str">
        <f>TEXT(Date[[#This Row],[DATE]],"MMM")</f>
        <v>Jun</v>
      </c>
      <c r="D160">
        <f>VALUE(TEXT(Date[[#This Row],[DATE]],"YYYY"))</f>
        <v>2019</v>
      </c>
      <c r="E160">
        <f>Date[[#This Row],[YEAR]]+(Date[[#This Row],[MONTH_NUMBER]]/100)</f>
        <v>2019.06</v>
      </c>
    </row>
    <row r="161" spans="1:5" x14ac:dyDescent="0.25">
      <c r="A161" s="29">
        <v>43625</v>
      </c>
      <c r="B161">
        <f>VALUE(TEXT(Date[[#This Row],[DATE]],"M"))</f>
        <v>6</v>
      </c>
      <c r="C161" t="str">
        <f>TEXT(Date[[#This Row],[DATE]],"MMM")</f>
        <v>Jun</v>
      </c>
      <c r="D161">
        <f>VALUE(TEXT(Date[[#This Row],[DATE]],"YYYY"))</f>
        <v>2019</v>
      </c>
      <c r="E161">
        <f>Date[[#This Row],[YEAR]]+(Date[[#This Row],[MONTH_NUMBER]]/100)</f>
        <v>2019.06</v>
      </c>
    </row>
    <row r="162" spans="1:5" x14ac:dyDescent="0.25">
      <c r="A162" s="29">
        <v>43626</v>
      </c>
      <c r="B162">
        <f>VALUE(TEXT(Date[[#This Row],[DATE]],"M"))</f>
        <v>6</v>
      </c>
      <c r="C162" t="str">
        <f>TEXT(Date[[#This Row],[DATE]],"MMM")</f>
        <v>Jun</v>
      </c>
      <c r="D162">
        <f>VALUE(TEXT(Date[[#This Row],[DATE]],"YYYY"))</f>
        <v>2019</v>
      </c>
      <c r="E162">
        <f>Date[[#This Row],[YEAR]]+(Date[[#This Row],[MONTH_NUMBER]]/100)</f>
        <v>2019.06</v>
      </c>
    </row>
    <row r="163" spans="1:5" x14ac:dyDescent="0.25">
      <c r="A163" s="29">
        <v>43627</v>
      </c>
      <c r="B163">
        <f>VALUE(TEXT(Date[[#This Row],[DATE]],"M"))</f>
        <v>6</v>
      </c>
      <c r="C163" t="str">
        <f>TEXT(Date[[#This Row],[DATE]],"MMM")</f>
        <v>Jun</v>
      </c>
      <c r="D163">
        <f>VALUE(TEXT(Date[[#This Row],[DATE]],"YYYY"))</f>
        <v>2019</v>
      </c>
      <c r="E163">
        <f>Date[[#This Row],[YEAR]]+(Date[[#This Row],[MONTH_NUMBER]]/100)</f>
        <v>2019.06</v>
      </c>
    </row>
    <row r="164" spans="1:5" x14ac:dyDescent="0.25">
      <c r="A164" s="29">
        <v>43628</v>
      </c>
      <c r="B164">
        <f>VALUE(TEXT(Date[[#This Row],[DATE]],"M"))</f>
        <v>6</v>
      </c>
      <c r="C164" t="str">
        <f>TEXT(Date[[#This Row],[DATE]],"MMM")</f>
        <v>Jun</v>
      </c>
      <c r="D164">
        <f>VALUE(TEXT(Date[[#This Row],[DATE]],"YYYY"))</f>
        <v>2019</v>
      </c>
      <c r="E164">
        <f>Date[[#This Row],[YEAR]]+(Date[[#This Row],[MONTH_NUMBER]]/100)</f>
        <v>2019.06</v>
      </c>
    </row>
    <row r="165" spans="1:5" x14ac:dyDescent="0.25">
      <c r="A165" s="29">
        <v>43629</v>
      </c>
      <c r="B165">
        <f>VALUE(TEXT(Date[[#This Row],[DATE]],"M"))</f>
        <v>6</v>
      </c>
      <c r="C165" t="str">
        <f>TEXT(Date[[#This Row],[DATE]],"MMM")</f>
        <v>Jun</v>
      </c>
      <c r="D165">
        <f>VALUE(TEXT(Date[[#This Row],[DATE]],"YYYY"))</f>
        <v>2019</v>
      </c>
      <c r="E165">
        <f>Date[[#This Row],[YEAR]]+(Date[[#This Row],[MONTH_NUMBER]]/100)</f>
        <v>2019.06</v>
      </c>
    </row>
    <row r="166" spans="1:5" x14ac:dyDescent="0.25">
      <c r="A166" s="29">
        <v>43630</v>
      </c>
      <c r="B166">
        <f>VALUE(TEXT(Date[[#This Row],[DATE]],"M"))</f>
        <v>6</v>
      </c>
      <c r="C166" t="str">
        <f>TEXT(Date[[#This Row],[DATE]],"MMM")</f>
        <v>Jun</v>
      </c>
      <c r="D166">
        <f>VALUE(TEXT(Date[[#This Row],[DATE]],"YYYY"))</f>
        <v>2019</v>
      </c>
      <c r="E166">
        <f>Date[[#This Row],[YEAR]]+(Date[[#This Row],[MONTH_NUMBER]]/100)</f>
        <v>2019.06</v>
      </c>
    </row>
    <row r="167" spans="1:5" x14ac:dyDescent="0.25">
      <c r="A167" s="29">
        <v>43631</v>
      </c>
      <c r="B167">
        <f>VALUE(TEXT(Date[[#This Row],[DATE]],"M"))</f>
        <v>6</v>
      </c>
      <c r="C167" t="str">
        <f>TEXT(Date[[#This Row],[DATE]],"MMM")</f>
        <v>Jun</v>
      </c>
      <c r="D167">
        <f>VALUE(TEXT(Date[[#This Row],[DATE]],"YYYY"))</f>
        <v>2019</v>
      </c>
      <c r="E167">
        <f>Date[[#This Row],[YEAR]]+(Date[[#This Row],[MONTH_NUMBER]]/100)</f>
        <v>2019.06</v>
      </c>
    </row>
    <row r="168" spans="1:5" x14ac:dyDescent="0.25">
      <c r="A168" s="29">
        <v>43632</v>
      </c>
      <c r="B168">
        <f>VALUE(TEXT(Date[[#This Row],[DATE]],"M"))</f>
        <v>6</v>
      </c>
      <c r="C168" t="str">
        <f>TEXT(Date[[#This Row],[DATE]],"MMM")</f>
        <v>Jun</v>
      </c>
      <c r="D168">
        <f>VALUE(TEXT(Date[[#This Row],[DATE]],"YYYY"))</f>
        <v>2019</v>
      </c>
      <c r="E168">
        <f>Date[[#This Row],[YEAR]]+(Date[[#This Row],[MONTH_NUMBER]]/100)</f>
        <v>2019.06</v>
      </c>
    </row>
    <row r="169" spans="1:5" x14ac:dyDescent="0.25">
      <c r="A169" s="29">
        <v>43633</v>
      </c>
      <c r="B169">
        <f>VALUE(TEXT(Date[[#This Row],[DATE]],"M"))</f>
        <v>6</v>
      </c>
      <c r="C169" t="str">
        <f>TEXT(Date[[#This Row],[DATE]],"MMM")</f>
        <v>Jun</v>
      </c>
      <c r="D169">
        <f>VALUE(TEXT(Date[[#This Row],[DATE]],"YYYY"))</f>
        <v>2019</v>
      </c>
      <c r="E169">
        <f>Date[[#This Row],[YEAR]]+(Date[[#This Row],[MONTH_NUMBER]]/100)</f>
        <v>2019.06</v>
      </c>
    </row>
    <row r="170" spans="1:5" x14ac:dyDescent="0.25">
      <c r="A170" s="29">
        <v>43634</v>
      </c>
      <c r="B170">
        <f>VALUE(TEXT(Date[[#This Row],[DATE]],"M"))</f>
        <v>6</v>
      </c>
      <c r="C170" t="str">
        <f>TEXT(Date[[#This Row],[DATE]],"MMM")</f>
        <v>Jun</v>
      </c>
      <c r="D170">
        <f>VALUE(TEXT(Date[[#This Row],[DATE]],"YYYY"))</f>
        <v>2019</v>
      </c>
      <c r="E170">
        <f>Date[[#This Row],[YEAR]]+(Date[[#This Row],[MONTH_NUMBER]]/100)</f>
        <v>2019.06</v>
      </c>
    </row>
    <row r="171" spans="1:5" x14ac:dyDescent="0.25">
      <c r="A171" s="29">
        <v>43635</v>
      </c>
      <c r="B171">
        <f>VALUE(TEXT(Date[[#This Row],[DATE]],"M"))</f>
        <v>6</v>
      </c>
      <c r="C171" t="str">
        <f>TEXT(Date[[#This Row],[DATE]],"MMM")</f>
        <v>Jun</v>
      </c>
      <c r="D171">
        <f>VALUE(TEXT(Date[[#This Row],[DATE]],"YYYY"))</f>
        <v>2019</v>
      </c>
      <c r="E171">
        <f>Date[[#This Row],[YEAR]]+(Date[[#This Row],[MONTH_NUMBER]]/100)</f>
        <v>2019.06</v>
      </c>
    </row>
    <row r="172" spans="1:5" x14ac:dyDescent="0.25">
      <c r="A172" s="29">
        <v>43636</v>
      </c>
      <c r="B172">
        <f>VALUE(TEXT(Date[[#This Row],[DATE]],"M"))</f>
        <v>6</v>
      </c>
      <c r="C172" t="str">
        <f>TEXT(Date[[#This Row],[DATE]],"MMM")</f>
        <v>Jun</v>
      </c>
      <c r="D172">
        <f>VALUE(TEXT(Date[[#This Row],[DATE]],"YYYY"))</f>
        <v>2019</v>
      </c>
      <c r="E172">
        <f>Date[[#This Row],[YEAR]]+(Date[[#This Row],[MONTH_NUMBER]]/100)</f>
        <v>2019.06</v>
      </c>
    </row>
    <row r="173" spans="1:5" x14ac:dyDescent="0.25">
      <c r="A173" s="29">
        <v>43637</v>
      </c>
      <c r="B173">
        <f>VALUE(TEXT(Date[[#This Row],[DATE]],"M"))</f>
        <v>6</v>
      </c>
      <c r="C173" t="str">
        <f>TEXT(Date[[#This Row],[DATE]],"MMM")</f>
        <v>Jun</v>
      </c>
      <c r="D173">
        <f>VALUE(TEXT(Date[[#This Row],[DATE]],"YYYY"))</f>
        <v>2019</v>
      </c>
      <c r="E173">
        <f>Date[[#This Row],[YEAR]]+(Date[[#This Row],[MONTH_NUMBER]]/100)</f>
        <v>2019.06</v>
      </c>
    </row>
    <row r="174" spans="1:5" x14ac:dyDescent="0.25">
      <c r="A174" s="29">
        <v>43638</v>
      </c>
      <c r="B174">
        <f>VALUE(TEXT(Date[[#This Row],[DATE]],"M"))</f>
        <v>6</v>
      </c>
      <c r="C174" t="str">
        <f>TEXT(Date[[#This Row],[DATE]],"MMM")</f>
        <v>Jun</v>
      </c>
      <c r="D174">
        <f>VALUE(TEXT(Date[[#This Row],[DATE]],"YYYY"))</f>
        <v>2019</v>
      </c>
      <c r="E174">
        <f>Date[[#This Row],[YEAR]]+(Date[[#This Row],[MONTH_NUMBER]]/100)</f>
        <v>2019.06</v>
      </c>
    </row>
    <row r="175" spans="1:5" x14ac:dyDescent="0.25">
      <c r="A175" s="29">
        <v>43639</v>
      </c>
      <c r="B175">
        <f>VALUE(TEXT(Date[[#This Row],[DATE]],"M"))</f>
        <v>6</v>
      </c>
      <c r="C175" t="str">
        <f>TEXT(Date[[#This Row],[DATE]],"MMM")</f>
        <v>Jun</v>
      </c>
      <c r="D175">
        <f>VALUE(TEXT(Date[[#This Row],[DATE]],"YYYY"))</f>
        <v>2019</v>
      </c>
      <c r="E175">
        <f>Date[[#This Row],[YEAR]]+(Date[[#This Row],[MONTH_NUMBER]]/100)</f>
        <v>2019.06</v>
      </c>
    </row>
    <row r="176" spans="1:5" x14ac:dyDescent="0.25">
      <c r="A176" s="29">
        <v>43640</v>
      </c>
      <c r="B176">
        <f>VALUE(TEXT(Date[[#This Row],[DATE]],"M"))</f>
        <v>6</v>
      </c>
      <c r="C176" t="str">
        <f>TEXT(Date[[#This Row],[DATE]],"MMM")</f>
        <v>Jun</v>
      </c>
      <c r="D176">
        <f>VALUE(TEXT(Date[[#This Row],[DATE]],"YYYY"))</f>
        <v>2019</v>
      </c>
      <c r="E176">
        <f>Date[[#This Row],[YEAR]]+(Date[[#This Row],[MONTH_NUMBER]]/100)</f>
        <v>2019.06</v>
      </c>
    </row>
    <row r="177" spans="1:5" x14ac:dyDescent="0.25">
      <c r="A177" s="29">
        <v>43641</v>
      </c>
      <c r="B177">
        <f>VALUE(TEXT(Date[[#This Row],[DATE]],"M"))</f>
        <v>6</v>
      </c>
      <c r="C177" t="str">
        <f>TEXT(Date[[#This Row],[DATE]],"MMM")</f>
        <v>Jun</v>
      </c>
      <c r="D177">
        <f>VALUE(TEXT(Date[[#This Row],[DATE]],"YYYY"))</f>
        <v>2019</v>
      </c>
      <c r="E177">
        <f>Date[[#This Row],[YEAR]]+(Date[[#This Row],[MONTH_NUMBER]]/100)</f>
        <v>2019.06</v>
      </c>
    </row>
    <row r="178" spans="1:5" x14ac:dyDescent="0.25">
      <c r="A178" s="29">
        <v>43642</v>
      </c>
      <c r="B178">
        <f>VALUE(TEXT(Date[[#This Row],[DATE]],"M"))</f>
        <v>6</v>
      </c>
      <c r="C178" t="str">
        <f>TEXT(Date[[#This Row],[DATE]],"MMM")</f>
        <v>Jun</v>
      </c>
      <c r="D178">
        <f>VALUE(TEXT(Date[[#This Row],[DATE]],"YYYY"))</f>
        <v>2019</v>
      </c>
      <c r="E178">
        <f>Date[[#This Row],[YEAR]]+(Date[[#This Row],[MONTH_NUMBER]]/100)</f>
        <v>2019.06</v>
      </c>
    </row>
    <row r="179" spans="1:5" x14ac:dyDescent="0.25">
      <c r="A179" s="29">
        <v>43643</v>
      </c>
      <c r="B179">
        <f>VALUE(TEXT(Date[[#This Row],[DATE]],"M"))</f>
        <v>6</v>
      </c>
      <c r="C179" t="str">
        <f>TEXT(Date[[#This Row],[DATE]],"MMM")</f>
        <v>Jun</v>
      </c>
      <c r="D179">
        <f>VALUE(TEXT(Date[[#This Row],[DATE]],"YYYY"))</f>
        <v>2019</v>
      </c>
      <c r="E179">
        <f>Date[[#This Row],[YEAR]]+(Date[[#This Row],[MONTH_NUMBER]]/100)</f>
        <v>2019.06</v>
      </c>
    </row>
    <row r="180" spans="1:5" x14ac:dyDescent="0.25">
      <c r="A180" s="29">
        <v>43644</v>
      </c>
      <c r="B180">
        <f>VALUE(TEXT(Date[[#This Row],[DATE]],"M"))</f>
        <v>6</v>
      </c>
      <c r="C180" t="str">
        <f>TEXT(Date[[#This Row],[DATE]],"MMM")</f>
        <v>Jun</v>
      </c>
      <c r="D180">
        <f>VALUE(TEXT(Date[[#This Row],[DATE]],"YYYY"))</f>
        <v>2019</v>
      </c>
      <c r="E180">
        <f>Date[[#This Row],[YEAR]]+(Date[[#This Row],[MONTH_NUMBER]]/100)</f>
        <v>2019.06</v>
      </c>
    </row>
    <row r="181" spans="1:5" x14ac:dyDescent="0.25">
      <c r="A181" s="29">
        <v>43645</v>
      </c>
      <c r="B181">
        <f>VALUE(TEXT(Date[[#This Row],[DATE]],"M"))</f>
        <v>6</v>
      </c>
      <c r="C181" t="str">
        <f>TEXT(Date[[#This Row],[DATE]],"MMM")</f>
        <v>Jun</v>
      </c>
      <c r="D181">
        <f>VALUE(TEXT(Date[[#This Row],[DATE]],"YYYY"))</f>
        <v>2019</v>
      </c>
      <c r="E181">
        <f>Date[[#This Row],[YEAR]]+(Date[[#This Row],[MONTH_NUMBER]]/100)</f>
        <v>2019.06</v>
      </c>
    </row>
    <row r="182" spans="1:5" x14ac:dyDescent="0.25">
      <c r="A182" s="29">
        <v>43646</v>
      </c>
      <c r="B182">
        <f>VALUE(TEXT(Date[[#This Row],[DATE]],"M"))</f>
        <v>6</v>
      </c>
      <c r="C182" t="str">
        <f>TEXT(Date[[#This Row],[DATE]],"MMM")</f>
        <v>Jun</v>
      </c>
      <c r="D182">
        <f>VALUE(TEXT(Date[[#This Row],[DATE]],"YYYY"))</f>
        <v>2019</v>
      </c>
      <c r="E182">
        <f>Date[[#This Row],[YEAR]]+(Date[[#This Row],[MONTH_NUMBER]]/100)</f>
        <v>2019.06</v>
      </c>
    </row>
    <row r="183" spans="1:5" x14ac:dyDescent="0.25">
      <c r="A183" s="29">
        <v>43647</v>
      </c>
      <c r="B183">
        <f>VALUE(TEXT(Date[[#This Row],[DATE]],"M"))</f>
        <v>7</v>
      </c>
      <c r="C183" t="str">
        <f>TEXT(Date[[#This Row],[DATE]],"MMM")</f>
        <v>Jul</v>
      </c>
      <c r="D183">
        <f>VALUE(TEXT(Date[[#This Row],[DATE]],"YYYY"))</f>
        <v>2019</v>
      </c>
      <c r="E183">
        <f>Date[[#This Row],[YEAR]]+(Date[[#This Row],[MONTH_NUMBER]]/100)</f>
        <v>2019.07</v>
      </c>
    </row>
    <row r="184" spans="1:5" x14ac:dyDescent="0.25">
      <c r="A184" s="29">
        <v>43648</v>
      </c>
      <c r="B184">
        <f>VALUE(TEXT(Date[[#This Row],[DATE]],"M"))</f>
        <v>7</v>
      </c>
      <c r="C184" t="str">
        <f>TEXT(Date[[#This Row],[DATE]],"MMM")</f>
        <v>Jul</v>
      </c>
      <c r="D184">
        <f>VALUE(TEXT(Date[[#This Row],[DATE]],"YYYY"))</f>
        <v>2019</v>
      </c>
      <c r="E184">
        <f>Date[[#This Row],[YEAR]]+(Date[[#This Row],[MONTH_NUMBER]]/100)</f>
        <v>2019.07</v>
      </c>
    </row>
    <row r="185" spans="1:5" x14ac:dyDescent="0.25">
      <c r="A185" s="29">
        <v>43649</v>
      </c>
      <c r="B185">
        <f>VALUE(TEXT(Date[[#This Row],[DATE]],"M"))</f>
        <v>7</v>
      </c>
      <c r="C185" t="str">
        <f>TEXT(Date[[#This Row],[DATE]],"MMM")</f>
        <v>Jul</v>
      </c>
      <c r="D185">
        <f>VALUE(TEXT(Date[[#This Row],[DATE]],"YYYY"))</f>
        <v>2019</v>
      </c>
      <c r="E185">
        <f>Date[[#This Row],[YEAR]]+(Date[[#This Row],[MONTH_NUMBER]]/100)</f>
        <v>2019.07</v>
      </c>
    </row>
    <row r="186" spans="1:5" x14ac:dyDescent="0.25">
      <c r="A186" s="29">
        <v>43650</v>
      </c>
      <c r="B186">
        <f>VALUE(TEXT(Date[[#This Row],[DATE]],"M"))</f>
        <v>7</v>
      </c>
      <c r="C186" t="str">
        <f>TEXT(Date[[#This Row],[DATE]],"MMM")</f>
        <v>Jul</v>
      </c>
      <c r="D186">
        <f>VALUE(TEXT(Date[[#This Row],[DATE]],"YYYY"))</f>
        <v>2019</v>
      </c>
      <c r="E186">
        <f>Date[[#This Row],[YEAR]]+(Date[[#This Row],[MONTH_NUMBER]]/100)</f>
        <v>2019.07</v>
      </c>
    </row>
    <row r="187" spans="1:5" x14ac:dyDescent="0.25">
      <c r="A187" s="29">
        <v>43651</v>
      </c>
      <c r="B187">
        <f>VALUE(TEXT(Date[[#This Row],[DATE]],"M"))</f>
        <v>7</v>
      </c>
      <c r="C187" t="str">
        <f>TEXT(Date[[#This Row],[DATE]],"MMM")</f>
        <v>Jul</v>
      </c>
      <c r="D187">
        <f>VALUE(TEXT(Date[[#This Row],[DATE]],"YYYY"))</f>
        <v>2019</v>
      </c>
      <c r="E187">
        <f>Date[[#This Row],[YEAR]]+(Date[[#This Row],[MONTH_NUMBER]]/100)</f>
        <v>2019.07</v>
      </c>
    </row>
    <row r="188" spans="1:5" x14ac:dyDescent="0.25">
      <c r="A188" s="29">
        <v>43652</v>
      </c>
      <c r="B188">
        <f>VALUE(TEXT(Date[[#This Row],[DATE]],"M"))</f>
        <v>7</v>
      </c>
      <c r="C188" t="str">
        <f>TEXT(Date[[#This Row],[DATE]],"MMM")</f>
        <v>Jul</v>
      </c>
      <c r="D188">
        <f>VALUE(TEXT(Date[[#This Row],[DATE]],"YYYY"))</f>
        <v>2019</v>
      </c>
      <c r="E188">
        <f>Date[[#This Row],[YEAR]]+(Date[[#This Row],[MONTH_NUMBER]]/100)</f>
        <v>2019.07</v>
      </c>
    </row>
    <row r="189" spans="1:5" x14ac:dyDescent="0.25">
      <c r="A189" s="29">
        <v>43653</v>
      </c>
      <c r="B189">
        <f>VALUE(TEXT(Date[[#This Row],[DATE]],"M"))</f>
        <v>7</v>
      </c>
      <c r="C189" t="str">
        <f>TEXT(Date[[#This Row],[DATE]],"MMM")</f>
        <v>Jul</v>
      </c>
      <c r="D189">
        <f>VALUE(TEXT(Date[[#This Row],[DATE]],"YYYY"))</f>
        <v>2019</v>
      </c>
      <c r="E189">
        <f>Date[[#This Row],[YEAR]]+(Date[[#This Row],[MONTH_NUMBER]]/100)</f>
        <v>2019.07</v>
      </c>
    </row>
    <row r="190" spans="1:5" x14ac:dyDescent="0.25">
      <c r="A190" s="29">
        <v>43654</v>
      </c>
      <c r="B190">
        <f>VALUE(TEXT(Date[[#This Row],[DATE]],"M"))</f>
        <v>7</v>
      </c>
      <c r="C190" t="str">
        <f>TEXT(Date[[#This Row],[DATE]],"MMM")</f>
        <v>Jul</v>
      </c>
      <c r="D190">
        <f>VALUE(TEXT(Date[[#This Row],[DATE]],"YYYY"))</f>
        <v>2019</v>
      </c>
      <c r="E190">
        <f>Date[[#This Row],[YEAR]]+(Date[[#This Row],[MONTH_NUMBER]]/100)</f>
        <v>2019.07</v>
      </c>
    </row>
    <row r="191" spans="1:5" x14ac:dyDescent="0.25">
      <c r="A191" s="29">
        <v>43655</v>
      </c>
      <c r="B191">
        <f>VALUE(TEXT(Date[[#This Row],[DATE]],"M"))</f>
        <v>7</v>
      </c>
      <c r="C191" t="str">
        <f>TEXT(Date[[#This Row],[DATE]],"MMM")</f>
        <v>Jul</v>
      </c>
      <c r="D191">
        <f>VALUE(TEXT(Date[[#This Row],[DATE]],"YYYY"))</f>
        <v>2019</v>
      </c>
      <c r="E191">
        <f>Date[[#This Row],[YEAR]]+(Date[[#This Row],[MONTH_NUMBER]]/100)</f>
        <v>2019.07</v>
      </c>
    </row>
    <row r="192" spans="1:5" x14ac:dyDescent="0.25">
      <c r="A192" s="29">
        <v>43656</v>
      </c>
      <c r="B192">
        <f>VALUE(TEXT(Date[[#This Row],[DATE]],"M"))</f>
        <v>7</v>
      </c>
      <c r="C192" t="str">
        <f>TEXT(Date[[#This Row],[DATE]],"MMM")</f>
        <v>Jul</v>
      </c>
      <c r="D192">
        <f>VALUE(TEXT(Date[[#This Row],[DATE]],"YYYY"))</f>
        <v>2019</v>
      </c>
      <c r="E192">
        <f>Date[[#This Row],[YEAR]]+(Date[[#This Row],[MONTH_NUMBER]]/100)</f>
        <v>2019.07</v>
      </c>
    </row>
    <row r="193" spans="1:5" x14ac:dyDescent="0.25">
      <c r="A193" s="29">
        <v>43657</v>
      </c>
      <c r="B193">
        <f>VALUE(TEXT(Date[[#This Row],[DATE]],"M"))</f>
        <v>7</v>
      </c>
      <c r="C193" t="str">
        <f>TEXT(Date[[#This Row],[DATE]],"MMM")</f>
        <v>Jul</v>
      </c>
      <c r="D193">
        <f>VALUE(TEXT(Date[[#This Row],[DATE]],"YYYY"))</f>
        <v>2019</v>
      </c>
      <c r="E193">
        <f>Date[[#This Row],[YEAR]]+(Date[[#This Row],[MONTH_NUMBER]]/100)</f>
        <v>2019.07</v>
      </c>
    </row>
    <row r="194" spans="1:5" x14ac:dyDescent="0.25">
      <c r="A194" s="29">
        <v>43658</v>
      </c>
      <c r="B194">
        <f>VALUE(TEXT(Date[[#This Row],[DATE]],"M"))</f>
        <v>7</v>
      </c>
      <c r="C194" t="str">
        <f>TEXT(Date[[#This Row],[DATE]],"MMM")</f>
        <v>Jul</v>
      </c>
      <c r="D194">
        <f>VALUE(TEXT(Date[[#This Row],[DATE]],"YYYY"))</f>
        <v>2019</v>
      </c>
      <c r="E194">
        <f>Date[[#This Row],[YEAR]]+(Date[[#This Row],[MONTH_NUMBER]]/100)</f>
        <v>2019.07</v>
      </c>
    </row>
    <row r="195" spans="1:5" x14ac:dyDescent="0.25">
      <c r="A195" s="29">
        <v>43659</v>
      </c>
      <c r="B195">
        <f>VALUE(TEXT(Date[[#This Row],[DATE]],"M"))</f>
        <v>7</v>
      </c>
      <c r="C195" t="str">
        <f>TEXT(Date[[#This Row],[DATE]],"MMM")</f>
        <v>Jul</v>
      </c>
      <c r="D195">
        <f>VALUE(TEXT(Date[[#This Row],[DATE]],"YYYY"))</f>
        <v>2019</v>
      </c>
      <c r="E195">
        <f>Date[[#This Row],[YEAR]]+(Date[[#This Row],[MONTH_NUMBER]]/100)</f>
        <v>2019.07</v>
      </c>
    </row>
    <row r="196" spans="1:5" x14ac:dyDescent="0.25">
      <c r="A196" s="29">
        <v>43660</v>
      </c>
      <c r="B196">
        <f>VALUE(TEXT(Date[[#This Row],[DATE]],"M"))</f>
        <v>7</v>
      </c>
      <c r="C196" t="str">
        <f>TEXT(Date[[#This Row],[DATE]],"MMM")</f>
        <v>Jul</v>
      </c>
      <c r="D196">
        <f>VALUE(TEXT(Date[[#This Row],[DATE]],"YYYY"))</f>
        <v>2019</v>
      </c>
      <c r="E196">
        <f>Date[[#This Row],[YEAR]]+(Date[[#This Row],[MONTH_NUMBER]]/100)</f>
        <v>2019.07</v>
      </c>
    </row>
    <row r="197" spans="1:5" x14ac:dyDescent="0.25">
      <c r="A197" s="29">
        <v>43661</v>
      </c>
      <c r="B197">
        <f>VALUE(TEXT(Date[[#This Row],[DATE]],"M"))</f>
        <v>7</v>
      </c>
      <c r="C197" t="str">
        <f>TEXT(Date[[#This Row],[DATE]],"MMM")</f>
        <v>Jul</v>
      </c>
      <c r="D197">
        <f>VALUE(TEXT(Date[[#This Row],[DATE]],"YYYY"))</f>
        <v>2019</v>
      </c>
      <c r="E197">
        <f>Date[[#This Row],[YEAR]]+(Date[[#This Row],[MONTH_NUMBER]]/100)</f>
        <v>2019.07</v>
      </c>
    </row>
    <row r="198" spans="1:5" x14ac:dyDescent="0.25">
      <c r="A198" s="29">
        <v>43662</v>
      </c>
      <c r="B198">
        <f>VALUE(TEXT(Date[[#This Row],[DATE]],"M"))</f>
        <v>7</v>
      </c>
      <c r="C198" t="str">
        <f>TEXT(Date[[#This Row],[DATE]],"MMM")</f>
        <v>Jul</v>
      </c>
      <c r="D198">
        <f>VALUE(TEXT(Date[[#This Row],[DATE]],"YYYY"))</f>
        <v>2019</v>
      </c>
      <c r="E198">
        <f>Date[[#This Row],[YEAR]]+(Date[[#This Row],[MONTH_NUMBER]]/100)</f>
        <v>2019.07</v>
      </c>
    </row>
    <row r="199" spans="1:5" x14ac:dyDescent="0.25">
      <c r="A199" s="29">
        <v>43663</v>
      </c>
      <c r="B199">
        <f>VALUE(TEXT(Date[[#This Row],[DATE]],"M"))</f>
        <v>7</v>
      </c>
      <c r="C199" t="str">
        <f>TEXT(Date[[#This Row],[DATE]],"MMM")</f>
        <v>Jul</v>
      </c>
      <c r="D199">
        <f>VALUE(TEXT(Date[[#This Row],[DATE]],"YYYY"))</f>
        <v>2019</v>
      </c>
      <c r="E199">
        <f>Date[[#This Row],[YEAR]]+(Date[[#This Row],[MONTH_NUMBER]]/100)</f>
        <v>2019.07</v>
      </c>
    </row>
    <row r="200" spans="1:5" x14ac:dyDescent="0.25">
      <c r="A200" s="29">
        <v>43664</v>
      </c>
      <c r="B200">
        <f>VALUE(TEXT(Date[[#This Row],[DATE]],"M"))</f>
        <v>7</v>
      </c>
      <c r="C200" t="str">
        <f>TEXT(Date[[#This Row],[DATE]],"MMM")</f>
        <v>Jul</v>
      </c>
      <c r="D200">
        <f>VALUE(TEXT(Date[[#This Row],[DATE]],"YYYY"))</f>
        <v>2019</v>
      </c>
      <c r="E200">
        <f>Date[[#This Row],[YEAR]]+(Date[[#This Row],[MONTH_NUMBER]]/100)</f>
        <v>2019.07</v>
      </c>
    </row>
    <row r="201" spans="1:5" x14ac:dyDescent="0.25">
      <c r="A201" s="29">
        <v>43665</v>
      </c>
      <c r="B201">
        <f>VALUE(TEXT(Date[[#This Row],[DATE]],"M"))</f>
        <v>7</v>
      </c>
      <c r="C201" t="str">
        <f>TEXT(Date[[#This Row],[DATE]],"MMM")</f>
        <v>Jul</v>
      </c>
      <c r="D201">
        <f>VALUE(TEXT(Date[[#This Row],[DATE]],"YYYY"))</f>
        <v>2019</v>
      </c>
      <c r="E201">
        <f>Date[[#This Row],[YEAR]]+(Date[[#This Row],[MONTH_NUMBER]]/100)</f>
        <v>2019.07</v>
      </c>
    </row>
    <row r="202" spans="1:5" x14ac:dyDescent="0.25">
      <c r="A202" s="29">
        <v>43666</v>
      </c>
      <c r="B202">
        <f>VALUE(TEXT(Date[[#This Row],[DATE]],"M"))</f>
        <v>7</v>
      </c>
      <c r="C202" t="str">
        <f>TEXT(Date[[#This Row],[DATE]],"MMM")</f>
        <v>Jul</v>
      </c>
      <c r="D202">
        <f>VALUE(TEXT(Date[[#This Row],[DATE]],"YYYY"))</f>
        <v>2019</v>
      </c>
      <c r="E202">
        <f>Date[[#This Row],[YEAR]]+(Date[[#This Row],[MONTH_NUMBER]]/100)</f>
        <v>2019.07</v>
      </c>
    </row>
    <row r="203" spans="1:5" x14ac:dyDescent="0.25">
      <c r="A203" s="29">
        <v>43667</v>
      </c>
      <c r="B203">
        <f>VALUE(TEXT(Date[[#This Row],[DATE]],"M"))</f>
        <v>7</v>
      </c>
      <c r="C203" t="str">
        <f>TEXT(Date[[#This Row],[DATE]],"MMM")</f>
        <v>Jul</v>
      </c>
      <c r="D203">
        <f>VALUE(TEXT(Date[[#This Row],[DATE]],"YYYY"))</f>
        <v>2019</v>
      </c>
      <c r="E203">
        <f>Date[[#This Row],[YEAR]]+(Date[[#This Row],[MONTH_NUMBER]]/100)</f>
        <v>2019.07</v>
      </c>
    </row>
    <row r="204" spans="1:5" x14ac:dyDescent="0.25">
      <c r="A204" s="29">
        <v>43668</v>
      </c>
      <c r="B204">
        <f>VALUE(TEXT(Date[[#This Row],[DATE]],"M"))</f>
        <v>7</v>
      </c>
      <c r="C204" t="str">
        <f>TEXT(Date[[#This Row],[DATE]],"MMM")</f>
        <v>Jul</v>
      </c>
      <c r="D204">
        <f>VALUE(TEXT(Date[[#This Row],[DATE]],"YYYY"))</f>
        <v>2019</v>
      </c>
      <c r="E204">
        <f>Date[[#This Row],[YEAR]]+(Date[[#This Row],[MONTH_NUMBER]]/100)</f>
        <v>2019.07</v>
      </c>
    </row>
    <row r="205" spans="1:5" x14ac:dyDescent="0.25">
      <c r="A205" s="29">
        <v>43669</v>
      </c>
      <c r="B205">
        <f>VALUE(TEXT(Date[[#This Row],[DATE]],"M"))</f>
        <v>7</v>
      </c>
      <c r="C205" t="str">
        <f>TEXT(Date[[#This Row],[DATE]],"MMM")</f>
        <v>Jul</v>
      </c>
      <c r="D205">
        <f>VALUE(TEXT(Date[[#This Row],[DATE]],"YYYY"))</f>
        <v>2019</v>
      </c>
      <c r="E205">
        <f>Date[[#This Row],[YEAR]]+(Date[[#This Row],[MONTH_NUMBER]]/100)</f>
        <v>2019.07</v>
      </c>
    </row>
    <row r="206" spans="1:5" x14ac:dyDescent="0.25">
      <c r="A206" s="29">
        <v>43670</v>
      </c>
      <c r="B206">
        <f>VALUE(TEXT(Date[[#This Row],[DATE]],"M"))</f>
        <v>7</v>
      </c>
      <c r="C206" t="str">
        <f>TEXT(Date[[#This Row],[DATE]],"MMM")</f>
        <v>Jul</v>
      </c>
      <c r="D206">
        <f>VALUE(TEXT(Date[[#This Row],[DATE]],"YYYY"))</f>
        <v>2019</v>
      </c>
      <c r="E206">
        <f>Date[[#This Row],[YEAR]]+(Date[[#This Row],[MONTH_NUMBER]]/100)</f>
        <v>2019.07</v>
      </c>
    </row>
    <row r="207" spans="1:5" x14ac:dyDescent="0.25">
      <c r="A207" s="29">
        <v>43671</v>
      </c>
      <c r="B207">
        <f>VALUE(TEXT(Date[[#This Row],[DATE]],"M"))</f>
        <v>7</v>
      </c>
      <c r="C207" t="str">
        <f>TEXT(Date[[#This Row],[DATE]],"MMM")</f>
        <v>Jul</v>
      </c>
      <c r="D207">
        <f>VALUE(TEXT(Date[[#This Row],[DATE]],"YYYY"))</f>
        <v>2019</v>
      </c>
      <c r="E207">
        <f>Date[[#This Row],[YEAR]]+(Date[[#This Row],[MONTH_NUMBER]]/100)</f>
        <v>2019.07</v>
      </c>
    </row>
    <row r="208" spans="1:5" x14ac:dyDescent="0.25">
      <c r="A208" s="29">
        <v>43672</v>
      </c>
      <c r="B208">
        <f>VALUE(TEXT(Date[[#This Row],[DATE]],"M"))</f>
        <v>7</v>
      </c>
      <c r="C208" t="str">
        <f>TEXT(Date[[#This Row],[DATE]],"MMM")</f>
        <v>Jul</v>
      </c>
      <c r="D208">
        <f>VALUE(TEXT(Date[[#This Row],[DATE]],"YYYY"))</f>
        <v>2019</v>
      </c>
      <c r="E208">
        <f>Date[[#This Row],[YEAR]]+(Date[[#This Row],[MONTH_NUMBER]]/100)</f>
        <v>2019.07</v>
      </c>
    </row>
    <row r="209" spans="1:5" x14ac:dyDescent="0.25">
      <c r="A209" s="29">
        <v>43673</v>
      </c>
      <c r="B209">
        <f>VALUE(TEXT(Date[[#This Row],[DATE]],"M"))</f>
        <v>7</v>
      </c>
      <c r="C209" t="str">
        <f>TEXT(Date[[#This Row],[DATE]],"MMM")</f>
        <v>Jul</v>
      </c>
      <c r="D209">
        <f>VALUE(TEXT(Date[[#This Row],[DATE]],"YYYY"))</f>
        <v>2019</v>
      </c>
      <c r="E209">
        <f>Date[[#This Row],[YEAR]]+(Date[[#This Row],[MONTH_NUMBER]]/100)</f>
        <v>2019.07</v>
      </c>
    </row>
    <row r="210" spans="1:5" x14ac:dyDescent="0.25">
      <c r="A210" s="29">
        <v>43674</v>
      </c>
      <c r="B210">
        <f>VALUE(TEXT(Date[[#This Row],[DATE]],"M"))</f>
        <v>7</v>
      </c>
      <c r="C210" t="str">
        <f>TEXT(Date[[#This Row],[DATE]],"MMM")</f>
        <v>Jul</v>
      </c>
      <c r="D210">
        <f>VALUE(TEXT(Date[[#This Row],[DATE]],"YYYY"))</f>
        <v>2019</v>
      </c>
      <c r="E210">
        <f>Date[[#This Row],[YEAR]]+(Date[[#This Row],[MONTH_NUMBER]]/100)</f>
        <v>2019.07</v>
      </c>
    </row>
    <row r="211" spans="1:5" x14ac:dyDescent="0.25">
      <c r="A211" s="29">
        <v>43675</v>
      </c>
      <c r="B211">
        <f>VALUE(TEXT(Date[[#This Row],[DATE]],"M"))</f>
        <v>7</v>
      </c>
      <c r="C211" t="str">
        <f>TEXT(Date[[#This Row],[DATE]],"MMM")</f>
        <v>Jul</v>
      </c>
      <c r="D211">
        <f>VALUE(TEXT(Date[[#This Row],[DATE]],"YYYY"))</f>
        <v>2019</v>
      </c>
      <c r="E211">
        <f>Date[[#This Row],[YEAR]]+(Date[[#This Row],[MONTH_NUMBER]]/100)</f>
        <v>2019.07</v>
      </c>
    </row>
    <row r="212" spans="1:5" x14ac:dyDescent="0.25">
      <c r="A212" s="29">
        <v>43676</v>
      </c>
      <c r="B212">
        <f>VALUE(TEXT(Date[[#This Row],[DATE]],"M"))</f>
        <v>7</v>
      </c>
      <c r="C212" t="str">
        <f>TEXT(Date[[#This Row],[DATE]],"MMM")</f>
        <v>Jul</v>
      </c>
      <c r="D212">
        <f>VALUE(TEXT(Date[[#This Row],[DATE]],"YYYY"))</f>
        <v>2019</v>
      </c>
      <c r="E212">
        <f>Date[[#This Row],[YEAR]]+(Date[[#This Row],[MONTH_NUMBER]]/100)</f>
        <v>2019.07</v>
      </c>
    </row>
    <row r="213" spans="1:5" x14ac:dyDescent="0.25">
      <c r="A213" s="29">
        <v>43677</v>
      </c>
      <c r="B213">
        <f>VALUE(TEXT(Date[[#This Row],[DATE]],"M"))</f>
        <v>7</v>
      </c>
      <c r="C213" t="str">
        <f>TEXT(Date[[#This Row],[DATE]],"MMM")</f>
        <v>Jul</v>
      </c>
      <c r="D213">
        <f>VALUE(TEXT(Date[[#This Row],[DATE]],"YYYY"))</f>
        <v>2019</v>
      </c>
      <c r="E213">
        <f>Date[[#This Row],[YEAR]]+(Date[[#This Row],[MONTH_NUMBER]]/100)</f>
        <v>2019.07</v>
      </c>
    </row>
    <row r="214" spans="1:5" x14ac:dyDescent="0.25">
      <c r="A214" s="29">
        <v>43678</v>
      </c>
      <c r="B214">
        <f>VALUE(TEXT(Date[[#This Row],[DATE]],"M"))</f>
        <v>8</v>
      </c>
      <c r="C214" t="str">
        <f>TEXT(Date[[#This Row],[DATE]],"MMM")</f>
        <v>Aug</v>
      </c>
      <c r="D214">
        <f>VALUE(TEXT(Date[[#This Row],[DATE]],"YYYY"))</f>
        <v>2019</v>
      </c>
      <c r="E214">
        <f>Date[[#This Row],[YEAR]]+(Date[[#This Row],[MONTH_NUMBER]]/100)</f>
        <v>2019.08</v>
      </c>
    </row>
    <row r="215" spans="1:5" x14ac:dyDescent="0.25">
      <c r="A215" s="29">
        <v>43679</v>
      </c>
      <c r="B215">
        <f>VALUE(TEXT(Date[[#This Row],[DATE]],"M"))</f>
        <v>8</v>
      </c>
      <c r="C215" t="str">
        <f>TEXT(Date[[#This Row],[DATE]],"MMM")</f>
        <v>Aug</v>
      </c>
      <c r="D215">
        <f>VALUE(TEXT(Date[[#This Row],[DATE]],"YYYY"))</f>
        <v>2019</v>
      </c>
      <c r="E215">
        <f>Date[[#This Row],[YEAR]]+(Date[[#This Row],[MONTH_NUMBER]]/100)</f>
        <v>2019.08</v>
      </c>
    </row>
    <row r="216" spans="1:5" x14ac:dyDescent="0.25">
      <c r="A216" s="29">
        <v>43680</v>
      </c>
      <c r="B216">
        <f>VALUE(TEXT(Date[[#This Row],[DATE]],"M"))</f>
        <v>8</v>
      </c>
      <c r="C216" t="str">
        <f>TEXT(Date[[#This Row],[DATE]],"MMM")</f>
        <v>Aug</v>
      </c>
      <c r="D216">
        <f>VALUE(TEXT(Date[[#This Row],[DATE]],"YYYY"))</f>
        <v>2019</v>
      </c>
      <c r="E216">
        <f>Date[[#This Row],[YEAR]]+(Date[[#This Row],[MONTH_NUMBER]]/100)</f>
        <v>2019.08</v>
      </c>
    </row>
    <row r="217" spans="1:5" x14ac:dyDescent="0.25">
      <c r="A217" s="29">
        <v>43681</v>
      </c>
      <c r="B217">
        <f>VALUE(TEXT(Date[[#This Row],[DATE]],"M"))</f>
        <v>8</v>
      </c>
      <c r="C217" t="str">
        <f>TEXT(Date[[#This Row],[DATE]],"MMM")</f>
        <v>Aug</v>
      </c>
      <c r="D217">
        <f>VALUE(TEXT(Date[[#This Row],[DATE]],"YYYY"))</f>
        <v>2019</v>
      </c>
      <c r="E217">
        <f>Date[[#This Row],[YEAR]]+(Date[[#This Row],[MONTH_NUMBER]]/100)</f>
        <v>2019.08</v>
      </c>
    </row>
    <row r="218" spans="1:5" x14ac:dyDescent="0.25">
      <c r="A218" s="29">
        <v>43682</v>
      </c>
      <c r="B218">
        <f>VALUE(TEXT(Date[[#This Row],[DATE]],"M"))</f>
        <v>8</v>
      </c>
      <c r="C218" t="str">
        <f>TEXT(Date[[#This Row],[DATE]],"MMM")</f>
        <v>Aug</v>
      </c>
      <c r="D218">
        <f>VALUE(TEXT(Date[[#This Row],[DATE]],"YYYY"))</f>
        <v>2019</v>
      </c>
      <c r="E218">
        <f>Date[[#This Row],[YEAR]]+(Date[[#This Row],[MONTH_NUMBER]]/100)</f>
        <v>2019.08</v>
      </c>
    </row>
    <row r="219" spans="1:5" x14ac:dyDescent="0.25">
      <c r="A219" s="29">
        <v>43683</v>
      </c>
      <c r="B219">
        <f>VALUE(TEXT(Date[[#This Row],[DATE]],"M"))</f>
        <v>8</v>
      </c>
      <c r="C219" t="str">
        <f>TEXT(Date[[#This Row],[DATE]],"MMM")</f>
        <v>Aug</v>
      </c>
      <c r="D219">
        <f>VALUE(TEXT(Date[[#This Row],[DATE]],"YYYY"))</f>
        <v>2019</v>
      </c>
      <c r="E219">
        <f>Date[[#This Row],[YEAR]]+(Date[[#This Row],[MONTH_NUMBER]]/100)</f>
        <v>2019.08</v>
      </c>
    </row>
    <row r="220" spans="1:5" x14ac:dyDescent="0.25">
      <c r="A220" s="29">
        <v>43684</v>
      </c>
      <c r="B220">
        <f>VALUE(TEXT(Date[[#This Row],[DATE]],"M"))</f>
        <v>8</v>
      </c>
      <c r="C220" t="str">
        <f>TEXT(Date[[#This Row],[DATE]],"MMM")</f>
        <v>Aug</v>
      </c>
      <c r="D220">
        <f>VALUE(TEXT(Date[[#This Row],[DATE]],"YYYY"))</f>
        <v>2019</v>
      </c>
      <c r="E220">
        <f>Date[[#This Row],[YEAR]]+(Date[[#This Row],[MONTH_NUMBER]]/100)</f>
        <v>2019.08</v>
      </c>
    </row>
    <row r="221" spans="1:5" x14ac:dyDescent="0.25">
      <c r="A221" s="29">
        <v>43685</v>
      </c>
      <c r="B221">
        <f>VALUE(TEXT(Date[[#This Row],[DATE]],"M"))</f>
        <v>8</v>
      </c>
      <c r="C221" t="str">
        <f>TEXT(Date[[#This Row],[DATE]],"MMM")</f>
        <v>Aug</v>
      </c>
      <c r="D221">
        <f>VALUE(TEXT(Date[[#This Row],[DATE]],"YYYY"))</f>
        <v>2019</v>
      </c>
      <c r="E221">
        <f>Date[[#This Row],[YEAR]]+(Date[[#This Row],[MONTH_NUMBER]]/100)</f>
        <v>2019.08</v>
      </c>
    </row>
    <row r="222" spans="1:5" x14ac:dyDescent="0.25">
      <c r="A222" s="29">
        <v>43686</v>
      </c>
      <c r="B222">
        <f>VALUE(TEXT(Date[[#This Row],[DATE]],"M"))</f>
        <v>8</v>
      </c>
      <c r="C222" t="str">
        <f>TEXT(Date[[#This Row],[DATE]],"MMM")</f>
        <v>Aug</v>
      </c>
      <c r="D222">
        <f>VALUE(TEXT(Date[[#This Row],[DATE]],"YYYY"))</f>
        <v>2019</v>
      </c>
      <c r="E222">
        <f>Date[[#This Row],[YEAR]]+(Date[[#This Row],[MONTH_NUMBER]]/100)</f>
        <v>2019.08</v>
      </c>
    </row>
    <row r="223" spans="1:5" x14ac:dyDescent="0.25">
      <c r="A223" s="29">
        <v>43687</v>
      </c>
      <c r="B223">
        <f>VALUE(TEXT(Date[[#This Row],[DATE]],"M"))</f>
        <v>8</v>
      </c>
      <c r="C223" t="str">
        <f>TEXT(Date[[#This Row],[DATE]],"MMM")</f>
        <v>Aug</v>
      </c>
      <c r="D223">
        <f>VALUE(TEXT(Date[[#This Row],[DATE]],"YYYY"))</f>
        <v>2019</v>
      </c>
      <c r="E223">
        <f>Date[[#This Row],[YEAR]]+(Date[[#This Row],[MONTH_NUMBER]]/100)</f>
        <v>2019.08</v>
      </c>
    </row>
    <row r="224" spans="1:5" x14ac:dyDescent="0.25">
      <c r="A224" s="29">
        <v>43688</v>
      </c>
      <c r="B224">
        <f>VALUE(TEXT(Date[[#This Row],[DATE]],"M"))</f>
        <v>8</v>
      </c>
      <c r="C224" t="str">
        <f>TEXT(Date[[#This Row],[DATE]],"MMM")</f>
        <v>Aug</v>
      </c>
      <c r="D224">
        <f>VALUE(TEXT(Date[[#This Row],[DATE]],"YYYY"))</f>
        <v>2019</v>
      </c>
      <c r="E224">
        <f>Date[[#This Row],[YEAR]]+(Date[[#This Row],[MONTH_NUMBER]]/100)</f>
        <v>2019.08</v>
      </c>
    </row>
    <row r="225" spans="1:5" x14ac:dyDescent="0.25">
      <c r="A225" s="29">
        <v>43689</v>
      </c>
      <c r="B225">
        <f>VALUE(TEXT(Date[[#This Row],[DATE]],"M"))</f>
        <v>8</v>
      </c>
      <c r="C225" t="str">
        <f>TEXT(Date[[#This Row],[DATE]],"MMM")</f>
        <v>Aug</v>
      </c>
      <c r="D225">
        <f>VALUE(TEXT(Date[[#This Row],[DATE]],"YYYY"))</f>
        <v>2019</v>
      </c>
      <c r="E225">
        <f>Date[[#This Row],[YEAR]]+(Date[[#This Row],[MONTH_NUMBER]]/100)</f>
        <v>2019.08</v>
      </c>
    </row>
    <row r="226" spans="1:5" x14ac:dyDescent="0.25">
      <c r="A226" s="29">
        <v>43690</v>
      </c>
      <c r="B226">
        <f>VALUE(TEXT(Date[[#This Row],[DATE]],"M"))</f>
        <v>8</v>
      </c>
      <c r="C226" t="str">
        <f>TEXT(Date[[#This Row],[DATE]],"MMM")</f>
        <v>Aug</v>
      </c>
      <c r="D226">
        <f>VALUE(TEXT(Date[[#This Row],[DATE]],"YYYY"))</f>
        <v>2019</v>
      </c>
      <c r="E226">
        <f>Date[[#This Row],[YEAR]]+(Date[[#This Row],[MONTH_NUMBER]]/100)</f>
        <v>2019.08</v>
      </c>
    </row>
    <row r="227" spans="1:5" x14ac:dyDescent="0.25">
      <c r="A227" s="29">
        <v>43691</v>
      </c>
      <c r="B227">
        <f>VALUE(TEXT(Date[[#This Row],[DATE]],"M"))</f>
        <v>8</v>
      </c>
      <c r="C227" t="str">
        <f>TEXT(Date[[#This Row],[DATE]],"MMM")</f>
        <v>Aug</v>
      </c>
      <c r="D227">
        <f>VALUE(TEXT(Date[[#This Row],[DATE]],"YYYY"))</f>
        <v>2019</v>
      </c>
      <c r="E227">
        <f>Date[[#This Row],[YEAR]]+(Date[[#This Row],[MONTH_NUMBER]]/100)</f>
        <v>2019.08</v>
      </c>
    </row>
    <row r="228" spans="1:5" x14ac:dyDescent="0.25">
      <c r="A228" s="29">
        <v>43692</v>
      </c>
      <c r="B228">
        <f>VALUE(TEXT(Date[[#This Row],[DATE]],"M"))</f>
        <v>8</v>
      </c>
      <c r="C228" t="str">
        <f>TEXT(Date[[#This Row],[DATE]],"MMM")</f>
        <v>Aug</v>
      </c>
      <c r="D228">
        <f>VALUE(TEXT(Date[[#This Row],[DATE]],"YYYY"))</f>
        <v>2019</v>
      </c>
      <c r="E228">
        <f>Date[[#This Row],[YEAR]]+(Date[[#This Row],[MONTH_NUMBER]]/100)</f>
        <v>2019.08</v>
      </c>
    </row>
    <row r="229" spans="1:5" x14ac:dyDescent="0.25">
      <c r="A229" s="29">
        <v>43693</v>
      </c>
      <c r="B229">
        <f>VALUE(TEXT(Date[[#This Row],[DATE]],"M"))</f>
        <v>8</v>
      </c>
      <c r="C229" t="str">
        <f>TEXT(Date[[#This Row],[DATE]],"MMM")</f>
        <v>Aug</v>
      </c>
      <c r="D229">
        <f>VALUE(TEXT(Date[[#This Row],[DATE]],"YYYY"))</f>
        <v>2019</v>
      </c>
      <c r="E229">
        <f>Date[[#This Row],[YEAR]]+(Date[[#This Row],[MONTH_NUMBER]]/100)</f>
        <v>2019.08</v>
      </c>
    </row>
    <row r="230" spans="1:5" x14ac:dyDescent="0.25">
      <c r="A230" s="29">
        <v>43694</v>
      </c>
      <c r="B230">
        <f>VALUE(TEXT(Date[[#This Row],[DATE]],"M"))</f>
        <v>8</v>
      </c>
      <c r="C230" t="str">
        <f>TEXT(Date[[#This Row],[DATE]],"MMM")</f>
        <v>Aug</v>
      </c>
      <c r="D230">
        <f>VALUE(TEXT(Date[[#This Row],[DATE]],"YYYY"))</f>
        <v>2019</v>
      </c>
      <c r="E230">
        <f>Date[[#This Row],[YEAR]]+(Date[[#This Row],[MONTH_NUMBER]]/100)</f>
        <v>2019.08</v>
      </c>
    </row>
    <row r="231" spans="1:5" x14ac:dyDescent="0.25">
      <c r="A231" s="29">
        <v>43695</v>
      </c>
      <c r="B231">
        <f>VALUE(TEXT(Date[[#This Row],[DATE]],"M"))</f>
        <v>8</v>
      </c>
      <c r="C231" t="str">
        <f>TEXT(Date[[#This Row],[DATE]],"MMM")</f>
        <v>Aug</v>
      </c>
      <c r="D231">
        <f>VALUE(TEXT(Date[[#This Row],[DATE]],"YYYY"))</f>
        <v>2019</v>
      </c>
      <c r="E231">
        <f>Date[[#This Row],[YEAR]]+(Date[[#This Row],[MONTH_NUMBER]]/100)</f>
        <v>2019.08</v>
      </c>
    </row>
    <row r="232" spans="1:5" x14ac:dyDescent="0.25">
      <c r="A232" s="29">
        <v>43696</v>
      </c>
      <c r="B232">
        <f>VALUE(TEXT(Date[[#This Row],[DATE]],"M"))</f>
        <v>8</v>
      </c>
      <c r="C232" t="str">
        <f>TEXT(Date[[#This Row],[DATE]],"MMM")</f>
        <v>Aug</v>
      </c>
      <c r="D232">
        <f>VALUE(TEXT(Date[[#This Row],[DATE]],"YYYY"))</f>
        <v>2019</v>
      </c>
      <c r="E232">
        <f>Date[[#This Row],[YEAR]]+(Date[[#This Row],[MONTH_NUMBER]]/100)</f>
        <v>2019.08</v>
      </c>
    </row>
    <row r="233" spans="1:5" x14ac:dyDescent="0.25">
      <c r="A233" s="29">
        <v>43697</v>
      </c>
      <c r="B233">
        <f>VALUE(TEXT(Date[[#This Row],[DATE]],"M"))</f>
        <v>8</v>
      </c>
      <c r="C233" t="str">
        <f>TEXT(Date[[#This Row],[DATE]],"MMM")</f>
        <v>Aug</v>
      </c>
      <c r="D233">
        <f>VALUE(TEXT(Date[[#This Row],[DATE]],"YYYY"))</f>
        <v>2019</v>
      </c>
      <c r="E233">
        <f>Date[[#This Row],[YEAR]]+(Date[[#This Row],[MONTH_NUMBER]]/100)</f>
        <v>2019.08</v>
      </c>
    </row>
    <row r="234" spans="1:5" x14ac:dyDescent="0.25">
      <c r="A234" s="29">
        <v>43698</v>
      </c>
      <c r="B234">
        <f>VALUE(TEXT(Date[[#This Row],[DATE]],"M"))</f>
        <v>8</v>
      </c>
      <c r="C234" t="str">
        <f>TEXT(Date[[#This Row],[DATE]],"MMM")</f>
        <v>Aug</v>
      </c>
      <c r="D234">
        <f>VALUE(TEXT(Date[[#This Row],[DATE]],"YYYY"))</f>
        <v>2019</v>
      </c>
      <c r="E234">
        <f>Date[[#This Row],[YEAR]]+(Date[[#This Row],[MONTH_NUMBER]]/100)</f>
        <v>2019.08</v>
      </c>
    </row>
    <row r="235" spans="1:5" x14ac:dyDescent="0.25">
      <c r="A235" s="29">
        <v>43699</v>
      </c>
      <c r="B235">
        <f>VALUE(TEXT(Date[[#This Row],[DATE]],"M"))</f>
        <v>8</v>
      </c>
      <c r="C235" t="str">
        <f>TEXT(Date[[#This Row],[DATE]],"MMM")</f>
        <v>Aug</v>
      </c>
      <c r="D235">
        <f>VALUE(TEXT(Date[[#This Row],[DATE]],"YYYY"))</f>
        <v>2019</v>
      </c>
      <c r="E235">
        <f>Date[[#This Row],[YEAR]]+(Date[[#This Row],[MONTH_NUMBER]]/100)</f>
        <v>2019.08</v>
      </c>
    </row>
    <row r="236" spans="1:5" x14ac:dyDescent="0.25">
      <c r="A236" s="29">
        <v>43700</v>
      </c>
      <c r="B236">
        <f>VALUE(TEXT(Date[[#This Row],[DATE]],"M"))</f>
        <v>8</v>
      </c>
      <c r="C236" t="str">
        <f>TEXT(Date[[#This Row],[DATE]],"MMM")</f>
        <v>Aug</v>
      </c>
      <c r="D236">
        <f>VALUE(TEXT(Date[[#This Row],[DATE]],"YYYY"))</f>
        <v>2019</v>
      </c>
      <c r="E236">
        <f>Date[[#This Row],[YEAR]]+(Date[[#This Row],[MONTH_NUMBER]]/100)</f>
        <v>2019.08</v>
      </c>
    </row>
    <row r="237" spans="1:5" x14ac:dyDescent="0.25">
      <c r="A237" s="29">
        <v>43701</v>
      </c>
      <c r="B237">
        <f>VALUE(TEXT(Date[[#This Row],[DATE]],"M"))</f>
        <v>8</v>
      </c>
      <c r="C237" t="str">
        <f>TEXT(Date[[#This Row],[DATE]],"MMM")</f>
        <v>Aug</v>
      </c>
      <c r="D237">
        <f>VALUE(TEXT(Date[[#This Row],[DATE]],"YYYY"))</f>
        <v>2019</v>
      </c>
      <c r="E237">
        <f>Date[[#This Row],[YEAR]]+(Date[[#This Row],[MONTH_NUMBER]]/100)</f>
        <v>2019.08</v>
      </c>
    </row>
    <row r="238" spans="1:5" x14ac:dyDescent="0.25">
      <c r="A238" s="29">
        <v>43702</v>
      </c>
      <c r="B238">
        <f>VALUE(TEXT(Date[[#This Row],[DATE]],"M"))</f>
        <v>8</v>
      </c>
      <c r="C238" t="str">
        <f>TEXT(Date[[#This Row],[DATE]],"MMM")</f>
        <v>Aug</v>
      </c>
      <c r="D238">
        <f>VALUE(TEXT(Date[[#This Row],[DATE]],"YYYY"))</f>
        <v>2019</v>
      </c>
      <c r="E238">
        <f>Date[[#This Row],[YEAR]]+(Date[[#This Row],[MONTH_NUMBER]]/100)</f>
        <v>2019.08</v>
      </c>
    </row>
    <row r="239" spans="1:5" x14ac:dyDescent="0.25">
      <c r="A239" s="29">
        <v>43703</v>
      </c>
      <c r="B239">
        <f>VALUE(TEXT(Date[[#This Row],[DATE]],"M"))</f>
        <v>8</v>
      </c>
      <c r="C239" t="str">
        <f>TEXT(Date[[#This Row],[DATE]],"MMM")</f>
        <v>Aug</v>
      </c>
      <c r="D239">
        <f>VALUE(TEXT(Date[[#This Row],[DATE]],"YYYY"))</f>
        <v>2019</v>
      </c>
      <c r="E239">
        <f>Date[[#This Row],[YEAR]]+(Date[[#This Row],[MONTH_NUMBER]]/100)</f>
        <v>2019.08</v>
      </c>
    </row>
    <row r="240" spans="1:5" x14ac:dyDescent="0.25">
      <c r="A240" s="29">
        <v>43704</v>
      </c>
      <c r="B240">
        <f>VALUE(TEXT(Date[[#This Row],[DATE]],"M"))</f>
        <v>8</v>
      </c>
      <c r="C240" t="str">
        <f>TEXT(Date[[#This Row],[DATE]],"MMM")</f>
        <v>Aug</v>
      </c>
      <c r="D240">
        <f>VALUE(TEXT(Date[[#This Row],[DATE]],"YYYY"))</f>
        <v>2019</v>
      </c>
      <c r="E240">
        <f>Date[[#This Row],[YEAR]]+(Date[[#This Row],[MONTH_NUMBER]]/100)</f>
        <v>2019.08</v>
      </c>
    </row>
    <row r="241" spans="1:5" x14ac:dyDescent="0.25">
      <c r="A241" s="29">
        <v>43705</v>
      </c>
      <c r="B241">
        <f>VALUE(TEXT(Date[[#This Row],[DATE]],"M"))</f>
        <v>8</v>
      </c>
      <c r="C241" t="str">
        <f>TEXT(Date[[#This Row],[DATE]],"MMM")</f>
        <v>Aug</v>
      </c>
      <c r="D241">
        <f>VALUE(TEXT(Date[[#This Row],[DATE]],"YYYY"))</f>
        <v>2019</v>
      </c>
      <c r="E241">
        <f>Date[[#This Row],[YEAR]]+(Date[[#This Row],[MONTH_NUMBER]]/100)</f>
        <v>2019.08</v>
      </c>
    </row>
    <row r="242" spans="1:5" x14ac:dyDescent="0.25">
      <c r="A242" s="29">
        <v>43706</v>
      </c>
      <c r="B242">
        <f>VALUE(TEXT(Date[[#This Row],[DATE]],"M"))</f>
        <v>8</v>
      </c>
      <c r="C242" t="str">
        <f>TEXT(Date[[#This Row],[DATE]],"MMM")</f>
        <v>Aug</v>
      </c>
      <c r="D242">
        <f>VALUE(TEXT(Date[[#This Row],[DATE]],"YYYY"))</f>
        <v>2019</v>
      </c>
      <c r="E242">
        <f>Date[[#This Row],[YEAR]]+(Date[[#This Row],[MONTH_NUMBER]]/100)</f>
        <v>2019.08</v>
      </c>
    </row>
    <row r="243" spans="1:5" x14ac:dyDescent="0.25">
      <c r="A243" s="29">
        <v>43707</v>
      </c>
      <c r="B243">
        <f>VALUE(TEXT(Date[[#This Row],[DATE]],"M"))</f>
        <v>8</v>
      </c>
      <c r="C243" t="str">
        <f>TEXT(Date[[#This Row],[DATE]],"MMM")</f>
        <v>Aug</v>
      </c>
      <c r="D243">
        <f>VALUE(TEXT(Date[[#This Row],[DATE]],"YYYY"))</f>
        <v>2019</v>
      </c>
      <c r="E243">
        <f>Date[[#This Row],[YEAR]]+(Date[[#This Row],[MONTH_NUMBER]]/100)</f>
        <v>2019.08</v>
      </c>
    </row>
    <row r="244" spans="1:5" x14ac:dyDescent="0.25">
      <c r="A244" s="29">
        <v>43708</v>
      </c>
      <c r="B244">
        <f>VALUE(TEXT(Date[[#This Row],[DATE]],"M"))</f>
        <v>8</v>
      </c>
      <c r="C244" t="str">
        <f>TEXT(Date[[#This Row],[DATE]],"MMM")</f>
        <v>Aug</v>
      </c>
      <c r="D244">
        <f>VALUE(TEXT(Date[[#This Row],[DATE]],"YYYY"))</f>
        <v>2019</v>
      </c>
      <c r="E244">
        <f>Date[[#This Row],[YEAR]]+(Date[[#This Row],[MONTH_NUMBER]]/100)</f>
        <v>2019.08</v>
      </c>
    </row>
    <row r="245" spans="1:5" x14ac:dyDescent="0.25">
      <c r="A245" s="29">
        <v>43709</v>
      </c>
      <c r="B245">
        <f>VALUE(TEXT(Date[[#This Row],[DATE]],"M"))</f>
        <v>9</v>
      </c>
      <c r="C245" t="str">
        <f>TEXT(Date[[#This Row],[DATE]],"MMM")</f>
        <v>Sep</v>
      </c>
      <c r="D245">
        <f>VALUE(TEXT(Date[[#This Row],[DATE]],"YYYY"))</f>
        <v>2019</v>
      </c>
      <c r="E245">
        <f>Date[[#This Row],[YEAR]]+(Date[[#This Row],[MONTH_NUMBER]]/100)</f>
        <v>2019.09</v>
      </c>
    </row>
    <row r="246" spans="1:5" x14ac:dyDescent="0.25">
      <c r="A246" s="29">
        <v>43710</v>
      </c>
      <c r="B246">
        <f>VALUE(TEXT(Date[[#This Row],[DATE]],"M"))</f>
        <v>9</v>
      </c>
      <c r="C246" t="str">
        <f>TEXT(Date[[#This Row],[DATE]],"MMM")</f>
        <v>Sep</v>
      </c>
      <c r="D246">
        <f>VALUE(TEXT(Date[[#This Row],[DATE]],"YYYY"))</f>
        <v>2019</v>
      </c>
      <c r="E246">
        <f>Date[[#This Row],[YEAR]]+(Date[[#This Row],[MONTH_NUMBER]]/100)</f>
        <v>2019.09</v>
      </c>
    </row>
    <row r="247" spans="1:5" x14ac:dyDescent="0.25">
      <c r="A247" s="29">
        <v>43711</v>
      </c>
      <c r="B247">
        <f>VALUE(TEXT(Date[[#This Row],[DATE]],"M"))</f>
        <v>9</v>
      </c>
      <c r="C247" t="str">
        <f>TEXT(Date[[#This Row],[DATE]],"MMM")</f>
        <v>Sep</v>
      </c>
      <c r="D247">
        <f>VALUE(TEXT(Date[[#This Row],[DATE]],"YYYY"))</f>
        <v>2019</v>
      </c>
      <c r="E247">
        <f>Date[[#This Row],[YEAR]]+(Date[[#This Row],[MONTH_NUMBER]]/100)</f>
        <v>2019.09</v>
      </c>
    </row>
    <row r="248" spans="1:5" x14ac:dyDescent="0.25">
      <c r="A248" s="29">
        <v>43712</v>
      </c>
      <c r="B248">
        <f>VALUE(TEXT(Date[[#This Row],[DATE]],"M"))</f>
        <v>9</v>
      </c>
      <c r="C248" t="str">
        <f>TEXT(Date[[#This Row],[DATE]],"MMM")</f>
        <v>Sep</v>
      </c>
      <c r="D248">
        <f>VALUE(TEXT(Date[[#This Row],[DATE]],"YYYY"))</f>
        <v>2019</v>
      </c>
      <c r="E248">
        <f>Date[[#This Row],[YEAR]]+(Date[[#This Row],[MONTH_NUMBER]]/100)</f>
        <v>2019.09</v>
      </c>
    </row>
    <row r="249" spans="1:5" x14ac:dyDescent="0.25">
      <c r="A249" s="29">
        <v>43713</v>
      </c>
      <c r="B249">
        <f>VALUE(TEXT(Date[[#This Row],[DATE]],"M"))</f>
        <v>9</v>
      </c>
      <c r="C249" t="str">
        <f>TEXT(Date[[#This Row],[DATE]],"MMM")</f>
        <v>Sep</v>
      </c>
      <c r="D249">
        <f>VALUE(TEXT(Date[[#This Row],[DATE]],"YYYY"))</f>
        <v>2019</v>
      </c>
      <c r="E249">
        <f>Date[[#This Row],[YEAR]]+(Date[[#This Row],[MONTH_NUMBER]]/100)</f>
        <v>2019.09</v>
      </c>
    </row>
    <row r="250" spans="1:5" x14ac:dyDescent="0.25">
      <c r="A250" s="29">
        <v>43714</v>
      </c>
      <c r="B250">
        <f>VALUE(TEXT(Date[[#This Row],[DATE]],"M"))</f>
        <v>9</v>
      </c>
      <c r="C250" t="str">
        <f>TEXT(Date[[#This Row],[DATE]],"MMM")</f>
        <v>Sep</v>
      </c>
      <c r="D250">
        <f>VALUE(TEXT(Date[[#This Row],[DATE]],"YYYY"))</f>
        <v>2019</v>
      </c>
      <c r="E250">
        <f>Date[[#This Row],[YEAR]]+(Date[[#This Row],[MONTH_NUMBER]]/100)</f>
        <v>2019.09</v>
      </c>
    </row>
    <row r="251" spans="1:5" x14ac:dyDescent="0.25">
      <c r="A251" s="29">
        <v>43715</v>
      </c>
      <c r="B251">
        <f>VALUE(TEXT(Date[[#This Row],[DATE]],"M"))</f>
        <v>9</v>
      </c>
      <c r="C251" t="str">
        <f>TEXT(Date[[#This Row],[DATE]],"MMM")</f>
        <v>Sep</v>
      </c>
      <c r="D251">
        <f>VALUE(TEXT(Date[[#This Row],[DATE]],"YYYY"))</f>
        <v>2019</v>
      </c>
      <c r="E251">
        <f>Date[[#This Row],[YEAR]]+(Date[[#This Row],[MONTH_NUMBER]]/100)</f>
        <v>2019.09</v>
      </c>
    </row>
    <row r="252" spans="1:5" x14ac:dyDescent="0.25">
      <c r="A252" s="29">
        <v>43716</v>
      </c>
      <c r="B252">
        <f>VALUE(TEXT(Date[[#This Row],[DATE]],"M"))</f>
        <v>9</v>
      </c>
      <c r="C252" t="str">
        <f>TEXT(Date[[#This Row],[DATE]],"MMM")</f>
        <v>Sep</v>
      </c>
      <c r="D252">
        <f>VALUE(TEXT(Date[[#This Row],[DATE]],"YYYY"))</f>
        <v>2019</v>
      </c>
      <c r="E252">
        <f>Date[[#This Row],[YEAR]]+(Date[[#This Row],[MONTH_NUMBER]]/100)</f>
        <v>2019.09</v>
      </c>
    </row>
    <row r="253" spans="1:5" x14ac:dyDescent="0.25">
      <c r="A253" s="29">
        <v>43717</v>
      </c>
      <c r="B253">
        <f>VALUE(TEXT(Date[[#This Row],[DATE]],"M"))</f>
        <v>9</v>
      </c>
      <c r="C253" t="str">
        <f>TEXT(Date[[#This Row],[DATE]],"MMM")</f>
        <v>Sep</v>
      </c>
      <c r="D253">
        <f>VALUE(TEXT(Date[[#This Row],[DATE]],"YYYY"))</f>
        <v>2019</v>
      </c>
      <c r="E253">
        <f>Date[[#This Row],[YEAR]]+(Date[[#This Row],[MONTH_NUMBER]]/100)</f>
        <v>2019.09</v>
      </c>
    </row>
    <row r="254" spans="1:5" x14ac:dyDescent="0.25">
      <c r="A254" s="29">
        <v>43718</v>
      </c>
      <c r="B254">
        <f>VALUE(TEXT(Date[[#This Row],[DATE]],"M"))</f>
        <v>9</v>
      </c>
      <c r="C254" t="str">
        <f>TEXT(Date[[#This Row],[DATE]],"MMM")</f>
        <v>Sep</v>
      </c>
      <c r="D254">
        <f>VALUE(TEXT(Date[[#This Row],[DATE]],"YYYY"))</f>
        <v>2019</v>
      </c>
      <c r="E254">
        <f>Date[[#This Row],[YEAR]]+(Date[[#This Row],[MONTH_NUMBER]]/100)</f>
        <v>2019.09</v>
      </c>
    </row>
    <row r="255" spans="1:5" x14ac:dyDescent="0.25">
      <c r="A255" s="29">
        <v>43719</v>
      </c>
      <c r="B255">
        <f>VALUE(TEXT(Date[[#This Row],[DATE]],"M"))</f>
        <v>9</v>
      </c>
      <c r="C255" t="str">
        <f>TEXT(Date[[#This Row],[DATE]],"MMM")</f>
        <v>Sep</v>
      </c>
      <c r="D255">
        <f>VALUE(TEXT(Date[[#This Row],[DATE]],"YYYY"))</f>
        <v>2019</v>
      </c>
      <c r="E255">
        <f>Date[[#This Row],[YEAR]]+(Date[[#This Row],[MONTH_NUMBER]]/100)</f>
        <v>2019.09</v>
      </c>
    </row>
    <row r="256" spans="1:5" x14ac:dyDescent="0.25">
      <c r="A256" s="29">
        <v>43720</v>
      </c>
      <c r="B256">
        <f>VALUE(TEXT(Date[[#This Row],[DATE]],"M"))</f>
        <v>9</v>
      </c>
      <c r="C256" t="str">
        <f>TEXT(Date[[#This Row],[DATE]],"MMM")</f>
        <v>Sep</v>
      </c>
      <c r="D256">
        <f>VALUE(TEXT(Date[[#This Row],[DATE]],"YYYY"))</f>
        <v>2019</v>
      </c>
      <c r="E256">
        <f>Date[[#This Row],[YEAR]]+(Date[[#This Row],[MONTH_NUMBER]]/100)</f>
        <v>2019.09</v>
      </c>
    </row>
    <row r="257" spans="1:5" x14ac:dyDescent="0.25">
      <c r="A257" s="29">
        <v>43721</v>
      </c>
      <c r="B257">
        <f>VALUE(TEXT(Date[[#This Row],[DATE]],"M"))</f>
        <v>9</v>
      </c>
      <c r="C257" t="str">
        <f>TEXT(Date[[#This Row],[DATE]],"MMM")</f>
        <v>Sep</v>
      </c>
      <c r="D257">
        <f>VALUE(TEXT(Date[[#This Row],[DATE]],"YYYY"))</f>
        <v>2019</v>
      </c>
      <c r="E257">
        <f>Date[[#This Row],[YEAR]]+(Date[[#This Row],[MONTH_NUMBER]]/100)</f>
        <v>2019.09</v>
      </c>
    </row>
    <row r="258" spans="1:5" x14ac:dyDescent="0.25">
      <c r="A258" s="29">
        <v>43722</v>
      </c>
      <c r="B258">
        <f>VALUE(TEXT(Date[[#This Row],[DATE]],"M"))</f>
        <v>9</v>
      </c>
      <c r="C258" t="str">
        <f>TEXT(Date[[#This Row],[DATE]],"MMM")</f>
        <v>Sep</v>
      </c>
      <c r="D258">
        <f>VALUE(TEXT(Date[[#This Row],[DATE]],"YYYY"))</f>
        <v>2019</v>
      </c>
      <c r="E258">
        <f>Date[[#This Row],[YEAR]]+(Date[[#This Row],[MONTH_NUMBER]]/100)</f>
        <v>2019.09</v>
      </c>
    </row>
    <row r="259" spans="1:5" x14ac:dyDescent="0.25">
      <c r="A259" s="29">
        <v>43723</v>
      </c>
      <c r="B259">
        <f>VALUE(TEXT(Date[[#This Row],[DATE]],"M"))</f>
        <v>9</v>
      </c>
      <c r="C259" t="str">
        <f>TEXT(Date[[#This Row],[DATE]],"MMM")</f>
        <v>Sep</v>
      </c>
      <c r="D259">
        <f>VALUE(TEXT(Date[[#This Row],[DATE]],"YYYY"))</f>
        <v>2019</v>
      </c>
      <c r="E259">
        <f>Date[[#This Row],[YEAR]]+(Date[[#This Row],[MONTH_NUMBER]]/100)</f>
        <v>2019.09</v>
      </c>
    </row>
    <row r="260" spans="1:5" x14ac:dyDescent="0.25">
      <c r="A260" s="29">
        <v>43724</v>
      </c>
      <c r="B260">
        <f>VALUE(TEXT(Date[[#This Row],[DATE]],"M"))</f>
        <v>9</v>
      </c>
      <c r="C260" t="str">
        <f>TEXT(Date[[#This Row],[DATE]],"MMM")</f>
        <v>Sep</v>
      </c>
      <c r="D260">
        <f>VALUE(TEXT(Date[[#This Row],[DATE]],"YYYY"))</f>
        <v>2019</v>
      </c>
      <c r="E260">
        <f>Date[[#This Row],[YEAR]]+(Date[[#This Row],[MONTH_NUMBER]]/100)</f>
        <v>2019.09</v>
      </c>
    </row>
    <row r="261" spans="1:5" x14ac:dyDescent="0.25">
      <c r="A261" s="29">
        <v>43725</v>
      </c>
      <c r="B261">
        <f>VALUE(TEXT(Date[[#This Row],[DATE]],"M"))</f>
        <v>9</v>
      </c>
      <c r="C261" t="str">
        <f>TEXT(Date[[#This Row],[DATE]],"MMM")</f>
        <v>Sep</v>
      </c>
      <c r="D261">
        <f>VALUE(TEXT(Date[[#This Row],[DATE]],"YYYY"))</f>
        <v>2019</v>
      </c>
      <c r="E261">
        <f>Date[[#This Row],[YEAR]]+(Date[[#This Row],[MONTH_NUMBER]]/100)</f>
        <v>2019.09</v>
      </c>
    </row>
    <row r="262" spans="1:5" x14ac:dyDescent="0.25">
      <c r="A262" s="29">
        <v>43726</v>
      </c>
      <c r="B262">
        <f>VALUE(TEXT(Date[[#This Row],[DATE]],"M"))</f>
        <v>9</v>
      </c>
      <c r="C262" t="str">
        <f>TEXT(Date[[#This Row],[DATE]],"MMM")</f>
        <v>Sep</v>
      </c>
      <c r="D262">
        <f>VALUE(TEXT(Date[[#This Row],[DATE]],"YYYY"))</f>
        <v>2019</v>
      </c>
      <c r="E262">
        <f>Date[[#This Row],[YEAR]]+(Date[[#This Row],[MONTH_NUMBER]]/100)</f>
        <v>2019.09</v>
      </c>
    </row>
    <row r="263" spans="1:5" x14ac:dyDescent="0.25">
      <c r="A263" s="29">
        <v>43727</v>
      </c>
      <c r="B263">
        <f>VALUE(TEXT(Date[[#This Row],[DATE]],"M"))</f>
        <v>9</v>
      </c>
      <c r="C263" t="str">
        <f>TEXT(Date[[#This Row],[DATE]],"MMM")</f>
        <v>Sep</v>
      </c>
      <c r="D263">
        <f>VALUE(TEXT(Date[[#This Row],[DATE]],"YYYY"))</f>
        <v>2019</v>
      </c>
      <c r="E263">
        <f>Date[[#This Row],[YEAR]]+(Date[[#This Row],[MONTH_NUMBER]]/100)</f>
        <v>2019.09</v>
      </c>
    </row>
    <row r="264" spans="1:5" x14ac:dyDescent="0.25">
      <c r="A264" s="29">
        <v>43728</v>
      </c>
      <c r="B264">
        <f>VALUE(TEXT(Date[[#This Row],[DATE]],"M"))</f>
        <v>9</v>
      </c>
      <c r="C264" t="str">
        <f>TEXT(Date[[#This Row],[DATE]],"MMM")</f>
        <v>Sep</v>
      </c>
      <c r="D264">
        <f>VALUE(TEXT(Date[[#This Row],[DATE]],"YYYY"))</f>
        <v>2019</v>
      </c>
      <c r="E264">
        <f>Date[[#This Row],[YEAR]]+(Date[[#This Row],[MONTH_NUMBER]]/100)</f>
        <v>2019.09</v>
      </c>
    </row>
    <row r="265" spans="1:5" x14ac:dyDescent="0.25">
      <c r="A265" s="29">
        <v>43729</v>
      </c>
      <c r="B265">
        <f>VALUE(TEXT(Date[[#This Row],[DATE]],"M"))</f>
        <v>9</v>
      </c>
      <c r="C265" t="str">
        <f>TEXT(Date[[#This Row],[DATE]],"MMM")</f>
        <v>Sep</v>
      </c>
      <c r="D265">
        <f>VALUE(TEXT(Date[[#This Row],[DATE]],"YYYY"))</f>
        <v>2019</v>
      </c>
      <c r="E265">
        <f>Date[[#This Row],[YEAR]]+(Date[[#This Row],[MONTH_NUMBER]]/100)</f>
        <v>2019.09</v>
      </c>
    </row>
    <row r="266" spans="1:5" x14ac:dyDescent="0.25">
      <c r="A266" s="29">
        <v>43730</v>
      </c>
      <c r="B266">
        <f>VALUE(TEXT(Date[[#This Row],[DATE]],"M"))</f>
        <v>9</v>
      </c>
      <c r="C266" t="str">
        <f>TEXT(Date[[#This Row],[DATE]],"MMM")</f>
        <v>Sep</v>
      </c>
      <c r="D266">
        <f>VALUE(TEXT(Date[[#This Row],[DATE]],"YYYY"))</f>
        <v>2019</v>
      </c>
      <c r="E266">
        <f>Date[[#This Row],[YEAR]]+(Date[[#This Row],[MONTH_NUMBER]]/100)</f>
        <v>2019.09</v>
      </c>
    </row>
    <row r="267" spans="1:5" x14ac:dyDescent="0.25">
      <c r="A267" s="29">
        <v>43731</v>
      </c>
      <c r="B267">
        <f>VALUE(TEXT(Date[[#This Row],[DATE]],"M"))</f>
        <v>9</v>
      </c>
      <c r="C267" t="str">
        <f>TEXT(Date[[#This Row],[DATE]],"MMM")</f>
        <v>Sep</v>
      </c>
      <c r="D267">
        <f>VALUE(TEXT(Date[[#This Row],[DATE]],"YYYY"))</f>
        <v>2019</v>
      </c>
      <c r="E267">
        <f>Date[[#This Row],[YEAR]]+(Date[[#This Row],[MONTH_NUMBER]]/100)</f>
        <v>2019.09</v>
      </c>
    </row>
    <row r="268" spans="1:5" x14ac:dyDescent="0.25">
      <c r="A268" s="29">
        <v>43732</v>
      </c>
      <c r="B268">
        <f>VALUE(TEXT(Date[[#This Row],[DATE]],"M"))</f>
        <v>9</v>
      </c>
      <c r="C268" t="str">
        <f>TEXT(Date[[#This Row],[DATE]],"MMM")</f>
        <v>Sep</v>
      </c>
      <c r="D268">
        <f>VALUE(TEXT(Date[[#This Row],[DATE]],"YYYY"))</f>
        <v>2019</v>
      </c>
      <c r="E268">
        <f>Date[[#This Row],[YEAR]]+(Date[[#This Row],[MONTH_NUMBER]]/100)</f>
        <v>2019.09</v>
      </c>
    </row>
    <row r="269" spans="1:5" x14ac:dyDescent="0.25">
      <c r="A269" s="29">
        <v>43733</v>
      </c>
      <c r="B269">
        <f>VALUE(TEXT(Date[[#This Row],[DATE]],"M"))</f>
        <v>9</v>
      </c>
      <c r="C269" t="str">
        <f>TEXT(Date[[#This Row],[DATE]],"MMM")</f>
        <v>Sep</v>
      </c>
      <c r="D269">
        <f>VALUE(TEXT(Date[[#This Row],[DATE]],"YYYY"))</f>
        <v>2019</v>
      </c>
      <c r="E269">
        <f>Date[[#This Row],[YEAR]]+(Date[[#This Row],[MONTH_NUMBER]]/100)</f>
        <v>2019.09</v>
      </c>
    </row>
    <row r="270" spans="1:5" x14ac:dyDescent="0.25">
      <c r="A270" s="29">
        <v>43734</v>
      </c>
      <c r="B270">
        <f>VALUE(TEXT(Date[[#This Row],[DATE]],"M"))</f>
        <v>9</v>
      </c>
      <c r="C270" t="str">
        <f>TEXT(Date[[#This Row],[DATE]],"MMM")</f>
        <v>Sep</v>
      </c>
      <c r="D270">
        <f>VALUE(TEXT(Date[[#This Row],[DATE]],"YYYY"))</f>
        <v>2019</v>
      </c>
      <c r="E270">
        <f>Date[[#This Row],[YEAR]]+(Date[[#This Row],[MONTH_NUMBER]]/100)</f>
        <v>2019.09</v>
      </c>
    </row>
    <row r="271" spans="1:5" x14ac:dyDescent="0.25">
      <c r="A271" s="29">
        <v>43735</v>
      </c>
      <c r="B271">
        <f>VALUE(TEXT(Date[[#This Row],[DATE]],"M"))</f>
        <v>9</v>
      </c>
      <c r="C271" t="str">
        <f>TEXT(Date[[#This Row],[DATE]],"MMM")</f>
        <v>Sep</v>
      </c>
      <c r="D271">
        <f>VALUE(TEXT(Date[[#This Row],[DATE]],"YYYY"))</f>
        <v>2019</v>
      </c>
      <c r="E271">
        <f>Date[[#This Row],[YEAR]]+(Date[[#This Row],[MONTH_NUMBER]]/100)</f>
        <v>2019.09</v>
      </c>
    </row>
    <row r="272" spans="1:5" x14ac:dyDescent="0.25">
      <c r="A272" s="29">
        <v>43736</v>
      </c>
      <c r="B272">
        <f>VALUE(TEXT(Date[[#This Row],[DATE]],"M"))</f>
        <v>9</v>
      </c>
      <c r="C272" t="str">
        <f>TEXT(Date[[#This Row],[DATE]],"MMM")</f>
        <v>Sep</v>
      </c>
      <c r="D272">
        <f>VALUE(TEXT(Date[[#This Row],[DATE]],"YYYY"))</f>
        <v>2019</v>
      </c>
      <c r="E272">
        <f>Date[[#This Row],[YEAR]]+(Date[[#This Row],[MONTH_NUMBER]]/100)</f>
        <v>2019.09</v>
      </c>
    </row>
    <row r="273" spans="1:5" x14ac:dyDescent="0.25">
      <c r="A273" s="29">
        <v>43737</v>
      </c>
      <c r="B273">
        <f>VALUE(TEXT(Date[[#This Row],[DATE]],"M"))</f>
        <v>9</v>
      </c>
      <c r="C273" t="str">
        <f>TEXT(Date[[#This Row],[DATE]],"MMM")</f>
        <v>Sep</v>
      </c>
      <c r="D273">
        <f>VALUE(TEXT(Date[[#This Row],[DATE]],"YYYY"))</f>
        <v>2019</v>
      </c>
      <c r="E273">
        <f>Date[[#This Row],[YEAR]]+(Date[[#This Row],[MONTH_NUMBER]]/100)</f>
        <v>2019.09</v>
      </c>
    </row>
    <row r="274" spans="1:5" x14ac:dyDescent="0.25">
      <c r="A274" s="29">
        <v>43738</v>
      </c>
      <c r="B274">
        <f>VALUE(TEXT(Date[[#This Row],[DATE]],"M"))</f>
        <v>9</v>
      </c>
      <c r="C274" t="str">
        <f>TEXT(Date[[#This Row],[DATE]],"MMM")</f>
        <v>Sep</v>
      </c>
      <c r="D274">
        <f>VALUE(TEXT(Date[[#This Row],[DATE]],"YYYY"))</f>
        <v>2019</v>
      </c>
      <c r="E274">
        <f>Date[[#This Row],[YEAR]]+(Date[[#This Row],[MONTH_NUMBER]]/100)</f>
        <v>2019.09</v>
      </c>
    </row>
    <row r="275" spans="1:5" x14ac:dyDescent="0.25">
      <c r="A275" s="29">
        <v>43739</v>
      </c>
      <c r="B275">
        <f>VALUE(TEXT(Date[[#This Row],[DATE]],"M"))</f>
        <v>10</v>
      </c>
      <c r="C275" t="str">
        <f>TEXT(Date[[#This Row],[DATE]],"MMM")</f>
        <v>Oct</v>
      </c>
      <c r="D275">
        <f>VALUE(TEXT(Date[[#This Row],[DATE]],"YYYY"))</f>
        <v>2019</v>
      </c>
      <c r="E275">
        <f>Date[[#This Row],[YEAR]]+(Date[[#This Row],[MONTH_NUMBER]]/100)</f>
        <v>2019.1</v>
      </c>
    </row>
    <row r="276" spans="1:5" x14ac:dyDescent="0.25">
      <c r="A276" s="29">
        <v>43740</v>
      </c>
      <c r="B276">
        <f>VALUE(TEXT(Date[[#This Row],[DATE]],"M"))</f>
        <v>10</v>
      </c>
      <c r="C276" t="str">
        <f>TEXT(Date[[#This Row],[DATE]],"MMM")</f>
        <v>Oct</v>
      </c>
      <c r="D276">
        <f>VALUE(TEXT(Date[[#This Row],[DATE]],"YYYY"))</f>
        <v>2019</v>
      </c>
      <c r="E276">
        <f>Date[[#This Row],[YEAR]]+(Date[[#This Row],[MONTH_NUMBER]]/100)</f>
        <v>2019.1</v>
      </c>
    </row>
    <row r="277" spans="1:5" x14ac:dyDescent="0.25">
      <c r="A277" s="29">
        <v>43741</v>
      </c>
      <c r="B277">
        <f>VALUE(TEXT(Date[[#This Row],[DATE]],"M"))</f>
        <v>10</v>
      </c>
      <c r="C277" t="str">
        <f>TEXT(Date[[#This Row],[DATE]],"MMM")</f>
        <v>Oct</v>
      </c>
      <c r="D277">
        <f>VALUE(TEXT(Date[[#This Row],[DATE]],"YYYY"))</f>
        <v>2019</v>
      </c>
      <c r="E277">
        <f>Date[[#This Row],[YEAR]]+(Date[[#This Row],[MONTH_NUMBER]]/100)</f>
        <v>2019.1</v>
      </c>
    </row>
    <row r="278" spans="1:5" x14ac:dyDescent="0.25">
      <c r="A278" s="29">
        <v>43742</v>
      </c>
      <c r="B278">
        <f>VALUE(TEXT(Date[[#This Row],[DATE]],"M"))</f>
        <v>10</v>
      </c>
      <c r="C278" t="str">
        <f>TEXT(Date[[#This Row],[DATE]],"MMM")</f>
        <v>Oct</v>
      </c>
      <c r="D278">
        <f>VALUE(TEXT(Date[[#This Row],[DATE]],"YYYY"))</f>
        <v>2019</v>
      </c>
      <c r="E278">
        <f>Date[[#This Row],[YEAR]]+(Date[[#This Row],[MONTH_NUMBER]]/100)</f>
        <v>2019.1</v>
      </c>
    </row>
    <row r="279" spans="1:5" x14ac:dyDescent="0.25">
      <c r="A279" s="29">
        <v>43743</v>
      </c>
      <c r="B279">
        <f>VALUE(TEXT(Date[[#This Row],[DATE]],"M"))</f>
        <v>10</v>
      </c>
      <c r="C279" t="str">
        <f>TEXT(Date[[#This Row],[DATE]],"MMM")</f>
        <v>Oct</v>
      </c>
      <c r="D279">
        <f>VALUE(TEXT(Date[[#This Row],[DATE]],"YYYY"))</f>
        <v>2019</v>
      </c>
      <c r="E279">
        <f>Date[[#This Row],[YEAR]]+(Date[[#This Row],[MONTH_NUMBER]]/100)</f>
        <v>2019.1</v>
      </c>
    </row>
    <row r="280" spans="1:5" x14ac:dyDescent="0.25">
      <c r="A280" s="29">
        <v>43744</v>
      </c>
      <c r="B280">
        <f>VALUE(TEXT(Date[[#This Row],[DATE]],"M"))</f>
        <v>10</v>
      </c>
      <c r="C280" t="str">
        <f>TEXT(Date[[#This Row],[DATE]],"MMM")</f>
        <v>Oct</v>
      </c>
      <c r="D280">
        <f>VALUE(TEXT(Date[[#This Row],[DATE]],"YYYY"))</f>
        <v>2019</v>
      </c>
      <c r="E280">
        <f>Date[[#This Row],[YEAR]]+(Date[[#This Row],[MONTH_NUMBER]]/100)</f>
        <v>2019.1</v>
      </c>
    </row>
    <row r="281" spans="1:5" x14ac:dyDescent="0.25">
      <c r="A281" s="29">
        <v>43745</v>
      </c>
      <c r="B281">
        <f>VALUE(TEXT(Date[[#This Row],[DATE]],"M"))</f>
        <v>10</v>
      </c>
      <c r="C281" t="str">
        <f>TEXT(Date[[#This Row],[DATE]],"MMM")</f>
        <v>Oct</v>
      </c>
      <c r="D281">
        <f>VALUE(TEXT(Date[[#This Row],[DATE]],"YYYY"))</f>
        <v>2019</v>
      </c>
      <c r="E281">
        <f>Date[[#This Row],[YEAR]]+(Date[[#This Row],[MONTH_NUMBER]]/100)</f>
        <v>2019.1</v>
      </c>
    </row>
    <row r="282" spans="1:5" x14ac:dyDescent="0.25">
      <c r="A282" s="29">
        <v>43746</v>
      </c>
      <c r="B282">
        <f>VALUE(TEXT(Date[[#This Row],[DATE]],"M"))</f>
        <v>10</v>
      </c>
      <c r="C282" t="str">
        <f>TEXT(Date[[#This Row],[DATE]],"MMM")</f>
        <v>Oct</v>
      </c>
      <c r="D282">
        <f>VALUE(TEXT(Date[[#This Row],[DATE]],"YYYY"))</f>
        <v>2019</v>
      </c>
      <c r="E282">
        <f>Date[[#This Row],[YEAR]]+(Date[[#This Row],[MONTH_NUMBER]]/100)</f>
        <v>2019.1</v>
      </c>
    </row>
    <row r="283" spans="1:5" x14ac:dyDescent="0.25">
      <c r="A283" s="29">
        <v>43747</v>
      </c>
      <c r="B283">
        <f>VALUE(TEXT(Date[[#This Row],[DATE]],"M"))</f>
        <v>10</v>
      </c>
      <c r="C283" t="str">
        <f>TEXT(Date[[#This Row],[DATE]],"MMM")</f>
        <v>Oct</v>
      </c>
      <c r="D283">
        <f>VALUE(TEXT(Date[[#This Row],[DATE]],"YYYY"))</f>
        <v>2019</v>
      </c>
      <c r="E283">
        <f>Date[[#This Row],[YEAR]]+(Date[[#This Row],[MONTH_NUMBER]]/100)</f>
        <v>2019.1</v>
      </c>
    </row>
    <row r="284" spans="1:5" x14ac:dyDescent="0.25">
      <c r="A284" s="29">
        <v>43748</v>
      </c>
      <c r="B284">
        <f>VALUE(TEXT(Date[[#This Row],[DATE]],"M"))</f>
        <v>10</v>
      </c>
      <c r="C284" t="str">
        <f>TEXT(Date[[#This Row],[DATE]],"MMM")</f>
        <v>Oct</v>
      </c>
      <c r="D284">
        <f>VALUE(TEXT(Date[[#This Row],[DATE]],"YYYY"))</f>
        <v>2019</v>
      </c>
      <c r="E284">
        <f>Date[[#This Row],[YEAR]]+(Date[[#This Row],[MONTH_NUMBER]]/100)</f>
        <v>2019.1</v>
      </c>
    </row>
    <row r="285" spans="1:5" x14ac:dyDescent="0.25">
      <c r="A285" s="29">
        <v>43749</v>
      </c>
      <c r="B285">
        <f>VALUE(TEXT(Date[[#This Row],[DATE]],"M"))</f>
        <v>10</v>
      </c>
      <c r="C285" t="str">
        <f>TEXT(Date[[#This Row],[DATE]],"MMM")</f>
        <v>Oct</v>
      </c>
      <c r="D285">
        <f>VALUE(TEXT(Date[[#This Row],[DATE]],"YYYY"))</f>
        <v>2019</v>
      </c>
      <c r="E285">
        <f>Date[[#This Row],[YEAR]]+(Date[[#This Row],[MONTH_NUMBER]]/100)</f>
        <v>2019.1</v>
      </c>
    </row>
    <row r="286" spans="1:5" x14ac:dyDescent="0.25">
      <c r="A286" s="29">
        <v>43750</v>
      </c>
      <c r="B286">
        <f>VALUE(TEXT(Date[[#This Row],[DATE]],"M"))</f>
        <v>10</v>
      </c>
      <c r="C286" t="str">
        <f>TEXT(Date[[#This Row],[DATE]],"MMM")</f>
        <v>Oct</v>
      </c>
      <c r="D286">
        <f>VALUE(TEXT(Date[[#This Row],[DATE]],"YYYY"))</f>
        <v>2019</v>
      </c>
      <c r="E286">
        <f>Date[[#This Row],[YEAR]]+(Date[[#This Row],[MONTH_NUMBER]]/100)</f>
        <v>2019.1</v>
      </c>
    </row>
    <row r="287" spans="1:5" x14ac:dyDescent="0.25">
      <c r="A287" s="29">
        <v>43751</v>
      </c>
      <c r="B287">
        <f>VALUE(TEXT(Date[[#This Row],[DATE]],"M"))</f>
        <v>10</v>
      </c>
      <c r="C287" t="str">
        <f>TEXT(Date[[#This Row],[DATE]],"MMM")</f>
        <v>Oct</v>
      </c>
      <c r="D287">
        <f>VALUE(TEXT(Date[[#This Row],[DATE]],"YYYY"))</f>
        <v>2019</v>
      </c>
      <c r="E287">
        <f>Date[[#This Row],[YEAR]]+(Date[[#This Row],[MONTH_NUMBER]]/100)</f>
        <v>2019.1</v>
      </c>
    </row>
    <row r="288" spans="1:5" x14ac:dyDescent="0.25">
      <c r="A288" s="29">
        <v>43752</v>
      </c>
      <c r="B288">
        <f>VALUE(TEXT(Date[[#This Row],[DATE]],"M"))</f>
        <v>10</v>
      </c>
      <c r="C288" t="str">
        <f>TEXT(Date[[#This Row],[DATE]],"MMM")</f>
        <v>Oct</v>
      </c>
      <c r="D288">
        <f>VALUE(TEXT(Date[[#This Row],[DATE]],"YYYY"))</f>
        <v>2019</v>
      </c>
      <c r="E288">
        <f>Date[[#This Row],[YEAR]]+(Date[[#This Row],[MONTH_NUMBER]]/100)</f>
        <v>2019.1</v>
      </c>
    </row>
    <row r="289" spans="1:5" x14ac:dyDescent="0.25">
      <c r="A289" s="29">
        <v>43753</v>
      </c>
      <c r="B289">
        <f>VALUE(TEXT(Date[[#This Row],[DATE]],"M"))</f>
        <v>10</v>
      </c>
      <c r="C289" t="str">
        <f>TEXT(Date[[#This Row],[DATE]],"MMM")</f>
        <v>Oct</v>
      </c>
      <c r="D289">
        <f>VALUE(TEXT(Date[[#This Row],[DATE]],"YYYY"))</f>
        <v>2019</v>
      </c>
      <c r="E289">
        <f>Date[[#This Row],[YEAR]]+(Date[[#This Row],[MONTH_NUMBER]]/100)</f>
        <v>2019.1</v>
      </c>
    </row>
    <row r="290" spans="1:5" x14ac:dyDescent="0.25">
      <c r="A290" s="29">
        <v>43754</v>
      </c>
      <c r="B290">
        <f>VALUE(TEXT(Date[[#This Row],[DATE]],"M"))</f>
        <v>10</v>
      </c>
      <c r="C290" t="str">
        <f>TEXT(Date[[#This Row],[DATE]],"MMM")</f>
        <v>Oct</v>
      </c>
      <c r="D290">
        <f>VALUE(TEXT(Date[[#This Row],[DATE]],"YYYY"))</f>
        <v>2019</v>
      </c>
      <c r="E290">
        <f>Date[[#This Row],[YEAR]]+(Date[[#This Row],[MONTH_NUMBER]]/100)</f>
        <v>2019.1</v>
      </c>
    </row>
    <row r="291" spans="1:5" x14ac:dyDescent="0.25">
      <c r="A291" s="29">
        <v>43755</v>
      </c>
      <c r="B291">
        <f>VALUE(TEXT(Date[[#This Row],[DATE]],"M"))</f>
        <v>10</v>
      </c>
      <c r="C291" t="str">
        <f>TEXT(Date[[#This Row],[DATE]],"MMM")</f>
        <v>Oct</v>
      </c>
      <c r="D291">
        <f>VALUE(TEXT(Date[[#This Row],[DATE]],"YYYY"))</f>
        <v>2019</v>
      </c>
      <c r="E291">
        <f>Date[[#This Row],[YEAR]]+(Date[[#This Row],[MONTH_NUMBER]]/100)</f>
        <v>2019.1</v>
      </c>
    </row>
    <row r="292" spans="1:5" x14ac:dyDescent="0.25">
      <c r="A292" s="29">
        <v>43756</v>
      </c>
      <c r="B292">
        <f>VALUE(TEXT(Date[[#This Row],[DATE]],"M"))</f>
        <v>10</v>
      </c>
      <c r="C292" t="str">
        <f>TEXT(Date[[#This Row],[DATE]],"MMM")</f>
        <v>Oct</v>
      </c>
      <c r="D292">
        <f>VALUE(TEXT(Date[[#This Row],[DATE]],"YYYY"))</f>
        <v>2019</v>
      </c>
      <c r="E292">
        <f>Date[[#This Row],[YEAR]]+(Date[[#This Row],[MONTH_NUMBER]]/100)</f>
        <v>2019.1</v>
      </c>
    </row>
    <row r="293" spans="1:5" x14ac:dyDescent="0.25">
      <c r="A293" s="29">
        <v>43757</v>
      </c>
      <c r="B293">
        <f>VALUE(TEXT(Date[[#This Row],[DATE]],"M"))</f>
        <v>10</v>
      </c>
      <c r="C293" t="str">
        <f>TEXT(Date[[#This Row],[DATE]],"MMM")</f>
        <v>Oct</v>
      </c>
      <c r="D293">
        <f>VALUE(TEXT(Date[[#This Row],[DATE]],"YYYY"))</f>
        <v>2019</v>
      </c>
      <c r="E293">
        <f>Date[[#This Row],[YEAR]]+(Date[[#This Row],[MONTH_NUMBER]]/100)</f>
        <v>2019.1</v>
      </c>
    </row>
    <row r="294" spans="1:5" x14ac:dyDescent="0.25">
      <c r="A294" s="29">
        <v>43758</v>
      </c>
      <c r="B294">
        <f>VALUE(TEXT(Date[[#This Row],[DATE]],"M"))</f>
        <v>10</v>
      </c>
      <c r="C294" t="str">
        <f>TEXT(Date[[#This Row],[DATE]],"MMM")</f>
        <v>Oct</v>
      </c>
      <c r="D294">
        <f>VALUE(TEXT(Date[[#This Row],[DATE]],"YYYY"))</f>
        <v>2019</v>
      </c>
      <c r="E294">
        <f>Date[[#This Row],[YEAR]]+(Date[[#This Row],[MONTH_NUMBER]]/100)</f>
        <v>2019.1</v>
      </c>
    </row>
    <row r="295" spans="1:5" x14ac:dyDescent="0.25">
      <c r="A295" s="29">
        <v>43759</v>
      </c>
      <c r="B295">
        <f>VALUE(TEXT(Date[[#This Row],[DATE]],"M"))</f>
        <v>10</v>
      </c>
      <c r="C295" t="str">
        <f>TEXT(Date[[#This Row],[DATE]],"MMM")</f>
        <v>Oct</v>
      </c>
      <c r="D295">
        <f>VALUE(TEXT(Date[[#This Row],[DATE]],"YYYY"))</f>
        <v>2019</v>
      </c>
      <c r="E295">
        <f>Date[[#This Row],[YEAR]]+(Date[[#This Row],[MONTH_NUMBER]]/100)</f>
        <v>2019.1</v>
      </c>
    </row>
    <row r="296" spans="1:5" x14ac:dyDescent="0.25">
      <c r="A296" s="29">
        <v>43760</v>
      </c>
      <c r="B296">
        <f>VALUE(TEXT(Date[[#This Row],[DATE]],"M"))</f>
        <v>10</v>
      </c>
      <c r="C296" t="str">
        <f>TEXT(Date[[#This Row],[DATE]],"MMM")</f>
        <v>Oct</v>
      </c>
      <c r="D296">
        <f>VALUE(TEXT(Date[[#This Row],[DATE]],"YYYY"))</f>
        <v>2019</v>
      </c>
      <c r="E296">
        <f>Date[[#This Row],[YEAR]]+(Date[[#This Row],[MONTH_NUMBER]]/100)</f>
        <v>2019.1</v>
      </c>
    </row>
    <row r="297" spans="1:5" x14ac:dyDescent="0.25">
      <c r="A297" s="29">
        <v>43761</v>
      </c>
      <c r="B297">
        <f>VALUE(TEXT(Date[[#This Row],[DATE]],"M"))</f>
        <v>10</v>
      </c>
      <c r="C297" t="str">
        <f>TEXT(Date[[#This Row],[DATE]],"MMM")</f>
        <v>Oct</v>
      </c>
      <c r="D297">
        <f>VALUE(TEXT(Date[[#This Row],[DATE]],"YYYY"))</f>
        <v>2019</v>
      </c>
      <c r="E297">
        <f>Date[[#This Row],[YEAR]]+(Date[[#This Row],[MONTH_NUMBER]]/100)</f>
        <v>2019.1</v>
      </c>
    </row>
    <row r="298" spans="1:5" x14ac:dyDescent="0.25">
      <c r="A298" s="29">
        <v>43762</v>
      </c>
      <c r="B298">
        <f>VALUE(TEXT(Date[[#This Row],[DATE]],"M"))</f>
        <v>10</v>
      </c>
      <c r="C298" t="str">
        <f>TEXT(Date[[#This Row],[DATE]],"MMM")</f>
        <v>Oct</v>
      </c>
      <c r="D298">
        <f>VALUE(TEXT(Date[[#This Row],[DATE]],"YYYY"))</f>
        <v>2019</v>
      </c>
      <c r="E298">
        <f>Date[[#This Row],[YEAR]]+(Date[[#This Row],[MONTH_NUMBER]]/100)</f>
        <v>2019.1</v>
      </c>
    </row>
    <row r="299" spans="1:5" x14ac:dyDescent="0.25">
      <c r="A299" s="29">
        <v>43763</v>
      </c>
      <c r="B299">
        <f>VALUE(TEXT(Date[[#This Row],[DATE]],"M"))</f>
        <v>10</v>
      </c>
      <c r="C299" t="str">
        <f>TEXT(Date[[#This Row],[DATE]],"MMM")</f>
        <v>Oct</v>
      </c>
      <c r="D299">
        <f>VALUE(TEXT(Date[[#This Row],[DATE]],"YYYY"))</f>
        <v>2019</v>
      </c>
      <c r="E299">
        <f>Date[[#This Row],[YEAR]]+(Date[[#This Row],[MONTH_NUMBER]]/100)</f>
        <v>2019.1</v>
      </c>
    </row>
    <row r="300" spans="1:5" x14ac:dyDescent="0.25">
      <c r="A300" s="29">
        <v>43764</v>
      </c>
      <c r="B300">
        <f>VALUE(TEXT(Date[[#This Row],[DATE]],"M"))</f>
        <v>10</v>
      </c>
      <c r="C300" t="str">
        <f>TEXT(Date[[#This Row],[DATE]],"MMM")</f>
        <v>Oct</v>
      </c>
      <c r="D300">
        <f>VALUE(TEXT(Date[[#This Row],[DATE]],"YYYY"))</f>
        <v>2019</v>
      </c>
      <c r="E300">
        <f>Date[[#This Row],[YEAR]]+(Date[[#This Row],[MONTH_NUMBER]]/100)</f>
        <v>2019.1</v>
      </c>
    </row>
    <row r="301" spans="1:5" x14ac:dyDescent="0.25">
      <c r="A301" s="29">
        <v>43765</v>
      </c>
      <c r="B301">
        <f>VALUE(TEXT(Date[[#This Row],[DATE]],"M"))</f>
        <v>10</v>
      </c>
      <c r="C301" t="str">
        <f>TEXT(Date[[#This Row],[DATE]],"MMM")</f>
        <v>Oct</v>
      </c>
      <c r="D301">
        <f>VALUE(TEXT(Date[[#This Row],[DATE]],"YYYY"))</f>
        <v>2019</v>
      </c>
      <c r="E301">
        <f>Date[[#This Row],[YEAR]]+(Date[[#This Row],[MONTH_NUMBER]]/100)</f>
        <v>2019.1</v>
      </c>
    </row>
    <row r="302" spans="1:5" x14ac:dyDescent="0.25">
      <c r="A302" s="29">
        <v>43766</v>
      </c>
      <c r="B302">
        <f>VALUE(TEXT(Date[[#This Row],[DATE]],"M"))</f>
        <v>10</v>
      </c>
      <c r="C302" t="str">
        <f>TEXT(Date[[#This Row],[DATE]],"MMM")</f>
        <v>Oct</v>
      </c>
      <c r="D302">
        <f>VALUE(TEXT(Date[[#This Row],[DATE]],"YYYY"))</f>
        <v>2019</v>
      </c>
      <c r="E302">
        <f>Date[[#This Row],[YEAR]]+(Date[[#This Row],[MONTH_NUMBER]]/100)</f>
        <v>2019.1</v>
      </c>
    </row>
    <row r="303" spans="1:5" x14ac:dyDescent="0.25">
      <c r="A303" s="29">
        <v>43767</v>
      </c>
      <c r="B303">
        <f>VALUE(TEXT(Date[[#This Row],[DATE]],"M"))</f>
        <v>10</v>
      </c>
      <c r="C303" t="str">
        <f>TEXT(Date[[#This Row],[DATE]],"MMM")</f>
        <v>Oct</v>
      </c>
      <c r="D303">
        <f>VALUE(TEXT(Date[[#This Row],[DATE]],"YYYY"))</f>
        <v>2019</v>
      </c>
      <c r="E303">
        <f>Date[[#This Row],[YEAR]]+(Date[[#This Row],[MONTH_NUMBER]]/100)</f>
        <v>2019.1</v>
      </c>
    </row>
    <row r="304" spans="1:5" x14ac:dyDescent="0.25">
      <c r="A304" s="29">
        <v>43768</v>
      </c>
      <c r="B304">
        <f>VALUE(TEXT(Date[[#This Row],[DATE]],"M"))</f>
        <v>10</v>
      </c>
      <c r="C304" t="str">
        <f>TEXT(Date[[#This Row],[DATE]],"MMM")</f>
        <v>Oct</v>
      </c>
      <c r="D304">
        <f>VALUE(TEXT(Date[[#This Row],[DATE]],"YYYY"))</f>
        <v>2019</v>
      </c>
      <c r="E304">
        <f>Date[[#This Row],[YEAR]]+(Date[[#This Row],[MONTH_NUMBER]]/100)</f>
        <v>2019.1</v>
      </c>
    </row>
    <row r="305" spans="1:5" x14ac:dyDescent="0.25">
      <c r="A305" s="29">
        <v>43769</v>
      </c>
      <c r="B305">
        <f>VALUE(TEXT(Date[[#This Row],[DATE]],"M"))</f>
        <v>10</v>
      </c>
      <c r="C305" t="str">
        <f>TEXT(Date[[#This Row],[DATE]],"MMM")</f>
        <v>Oct</v>
      </c>
      <c r="D305">
        <f>VALUE(TEXT(Date[[#This Row],[DATE]],"YYYY"))</f>
        <v>2019</v>
      </c>
      <c r="E305">
        <f>Date[[#This Row],[YEAR]]+(Date[[#This Row],[MONTH_NUMBER]]/100)</f>
        <v>2019.1</v>
      </c>
    </row>
    <row r="306" spans="1:5" x14ac:dyDescent="0.25">
      <c r="A306" s="29">
        <v>43770</v>
      </c>
      <c r="B306">
        <f>VALUE(TEXT(Date[[#This Row],[DATE]],"M"))</f>
        <v>11</v>
      </c>
      <c r="C306" t="str">
        <f>TEXT(Date[[#This Row],[DATE]],"MMM")</f>
        <v>Nov</v>
      </c>
      <c r="D306">
        <f>VALUE(TEXT(Date[[#This Row],[DATE]],"YYYY"))</f>
        <v>2019</v>
      </c>
      <c r="E306">
        <f>Date[[#This Row],[YEAR]]+(Date[[#This Row],[MONTH_NUMBER]]/100)</f>
        <v>2019.11</v>
      </c>
    </row>
    <row r="307" spans="1:5" x14ac:dyDescent="0.25">
      <c r="A307" s="29">
        <v>43771</v>
      </c>
      <c r="B307">
        <f>VALUE(TEXT(Date[[#This Row],[DATE]],"M"))</f>
        <v>11</v>
      </c>
      <c r="C307" t="str">
        <f>TEXT(Date[[#This Row],[DATE]],"MMM")</f>
        <v>Nov</v>
      </c>
      <c r="D307">
        <f>VALUE(TEXT(Date[[#This Row],[DATE]],"YYYY"))</f>
        <v>2019</v>
      </c>
      <c r="E307">
        <f>Date[[#This Row],[YEAR]]+(Date[[#This Row],[MONTH_NUMBER]]/100)</f>
        <v>2019.11</v>
      </c>
    </row>
    <row r="308" spans="1:5" x14ac:dyDescent="0.25">
      <c r="A308" s="29">
        <v>43772</v>
      </c>
      <c r="B308">
        <f>VALUE(TEXT(Date[[#This Row],[DATE]],"M"))</f>
        <v>11</v>
      </c>
      <c r="C308" t="str">
        <f>TEXT(Date[[#This Row],[DATE]],"MMM")</f>
        <v>Nov</v>
      </c>
      <c r="D308">
        <f>VALUE(TEXT(Date[[#This Row],[DATE]],"YYYY"))</f>
        <v>2019</v>
      </c>
      <c r="E308">
        <f>Date[[#This Row],[YEAR]]+(Date[[#This Row],[MONTH_NUMBER]]/100)</f>
        <v>2019.11</v>
      </c>
    </row>
    <row r="309" spans="1:5" x14ac:dyDescent="0.25">
      <c r="A309" s="29">
        <v>43773</v>
      </c>
      <c r="B309">
        <f>VALUE(TEXT(Date[[#This Row],[DATE]],"M"))</f>
        <v>11</v>
      </c>
      <c r="C309" t="str">
        <f>TEXT(Date[[#This Row],[DATE]],"MMM")</f>
        <v>Nov</v>
      </c>
      <c r="D309">
        <f>VALUE(TEXT(Date[[#This Row],[DATE]],"YYYY"))</f>
        <v>2019</v>
      </c>
      <c r="E309">
        <f>Date[[#This Row],[YEAR]]+(Date[[#This Row],[MONTH_NUMBER]]/100)</f>
        <v>2019.11</v>
      </c>
    </row>
    <row r="310" spans="1:5" x14ac:dyDescent="0.25">
      <c r="A310" s="29">
        <v>43774</v>
      </c>
      <c r="B310">
        <f>VALUE(TEXT(Date[[#This Row],[DATE]],"M"))</f>
        <v>11</v>
      </c>
      <c r="C310" t="str">
        <f>TEXT(Date[[#This Row],[DATE]],"MMM")</f>
        <v>Nov</v>
      </c>
      <c r="D310">
        <f>VALUE(TEXT(Date[[#This Row],[DATE]],"YYYY"))</f>
        <v>2019</v>
      </c>
      <c r="E310">
        <f>Date[[#This Row],[YEAR]]+(Date[[#This Row],[MONTH_NUMBER]]/100)</f>
        <v>2019.11</v>
      </c>
    </row>
    <row r="311" spans="1:5" x14ac:dyDescent="0.25">
      <c r="A311" s="29">
        <v>43775</v>
      </c>
      <c r="B311">
        <f>VALUE(TEXT(Date[[#This Row],[DATE]],"M"))</f>
        <v>11</v>
      </c>
      <c r="C311" t="str">
        <f>TEXT(Date[[#This Row],[DATE]],"MMM")</f>
        <v>Nov</v>
      </c>
      <c r="D311">
        <f>VALUE(TEXT(Date[[#This Row],[DATE]],"YYYY"))</f>
        <v>2019</v>
      </c>
      <c r="E311">
        <f>Date[[#This Row],[YEAR]]+(Date[[#This Row],[MONTH_NUMBER]]/100)</f>
        <v>2019.11</v>
      </c>
    </row>
    <row r="312" spans="1:5" x14ac:dyDescent="0.25">
      <c r="A312" s="29">
        <v>43776</v>
      </c>
      <c r="B312">
        <f>VALUE(TEXT(Date[[#This Row],[DATE]],"M"))</f>
        <v>11</v>
      </c>
      <c r="C312" t="str">
        <f>TEXT(Date[[#This Row],[DATE]],"MMM")</f>
        <v>Nov</v>
      </c>
      <c r="D312">
        <f>VALUE(TEXT(Date[[#This Row],[DATE]],"YYYY"))</f>
        <v>2019</v>
      </c>
      <c r="E312">
        <f>Date[[#This Row],[YEAR]]+(Date[[#This Row],[MONTH_NUMBER]]/100)</f>
        <v>2019.11</v>
      </c>
    </row>
    <row r="313" spans="1:5" x14ac:dyDescent="0.25">
      <c r="A313" s="29">
        <v>43777</v>
      </c>
      <c r="B313">
        <f>VALUE(TEXT(Date[[#This Row],[DATE]],"M"))</f>
        <v>11</v>
      </c>
      <c r="C313" t="str">
        <f>TEXT(Date[[#This Row],[DATE]],"MMM")</f>
        <v>Nov</v>
      </c>
      <c r="D313">
        <f>VALUE(TEXT(Date[[#This Row],[DATE]],"YYYY"))</f>
        <v>2019</v>
      </c>
      <c r="E313">
        <f>Date[[#This Row],[YEAR]]+(Date[[#This Row],[MONTH_NUMBER]]/100)</f>
        <v>2019.11</v>
      </c>
    </row>
    <row r="314" spans="1:5" x14ac:dyDescent="0.25">
      <c r="A314" s="29">
        <v>43778</v>
      </c>
      <c r="B314">
        <f>VALUE(TEXT(Date[[#This Row],[DATE]],"M"))</f>
        <v>11</v>
      </c>
      <c r="C314" t="str">
        <f>TEXT(Date[[#This Row],[DATE]],"MMM")</f>
        <v>Nov</v>
      </c>
      <c r="D314">
        <f>VALUE(TEXT(Date[[#This Row],[DATE]],"YYYY"))</f>
        <v>2019</v>
      </c>
      <c r="E314">
        <f>Date[[#This Row],[YEAR]]+(Date[[#This Row],[MONTH_NUMBER]]/100)</f>
        <v>2019.11</v>
      </c>
    </row>
    <row r="315" spans="1:5" x14ac:dyDescent="0.25">
      <c r="A315" s="29">
        <v>43779</v>
      </c>
      <c r="B315">
        <f>VALUE(TEXT(Date[[#This Row],[DATE]],"M"))</f>
        <v>11</v>
      </c>
      <c r="C315" t="str">
        <f>TEXT(Date[[#This Row],[DATE]],"MMM")</f>
        <v>Nov</v>
      </c>
      <c r="D315">
        <f>VALUE(TEXT(Date[[#This Row],[DATE]],"YYYY"))</f>
        <v>2019</v>
      </c>
      <c r="E315">
        <f>Date[[#This Row],[YEAR]]+(Date[[#This Row],[MONTH_NUMBER]]/100)</f>
        <v>2019.11</v>
      </c>
    </row>
    <row r="316" spans="1:5" x14ac:dyDescent="0.25">
      <c r="A316" s="29">
        <v>43780</v>
      </c>
      <c r="B316">
        <f>VALUE(TEXT(Date[[#This Row],[DATE]],"M"))</f>
        <v>11</v>
      </c>
      <c r="C316" t="str">
        <f>TEXT(Date[[#This Row],[DATE]],"MMM")</f>
        <v>Nov</v>
      </c>
      <c r="D316">
        <f>VALUE(TEXT(Date[[#This Row],[DATE]],"YYYY"))</f>
        <v>2019</v>
      </c>
      <c r="E316">
        <f>Date[[#This Row],[YEAR]]+(Date[[#This Row],[MONTH_NUMBER]]/100)</f>
        <v>2019.11</v>
      </c>
    </row>
    <row r="317" spans="1:5" x14ac:dyDescent="0.25">
      <c r="A317" s="29">
        <v>43781</v>
      </c>
      <c r="B317">
        <f>VALUE(TEXT(Date[[#This Row],[DATE]],"M"))</f>
        <v>11</v>
      </c>
      <c r="C317" t="str">
        <f>TEXT(Date[[#This Row],[DATE]],"MMM")</f>
        <v>Nov</v>
      </c>
      <c r="D317">
        <f>VALUE(TEXT(Date[[#This Row],[DATE]],"YYYY"))</f>
        <v>2019</v>
      </c>
      <c r="E317">
        <f>Date[[#This Row],[YEAR]]+(Date[[#This Row],[MONTH_NUMBER]]/100)</f>
        <v>2019.11</v>
      </c>
    </row>
    <row r="318" spans="1:5" x14ac:dyDescent="0.25">
      <c r="A318" s="29">
        <v>43782</v>
      </c>
      <c r="B318">
        <f>VALUE(TEXT(Date[[#This Row],[DATE]],"M"))</f>
        <v>11</v>
      </c>
      <c r="C318" t="str">
        <f>TEXT(Date[[#This Row],[DATE]],"MMM")</f>
        <v>Nov</v>
      </c>
      <c r="D318">
        <f>VALUE(TEXT(Date[[#This Row],[DATE]],"YYYY"))</f>
        <v>2019</v>
      </c>
      <c r="E318">
        <f>Date[[#This Row],[YEAR]]+(Date[[#This Row],[MONTH_NUMBER]]/100)</f>
        <v>2019.11</v>
      </c>
    </row>
    <row r="319" spans="1:5" x14ac:dyDescent="0.25">
      <c r="A319" s="29">
        <v>43783</v>
      </c>
      <c r="B319">
        <f>VALUE(TEXT(Date[[#This Row],[DATE]],"M"))</f>
        <v>11</v>
      </c>
      <c r="C319" t="str">
        <f>TEXT(Date[[#This Row],[DATE]],"MMM")</f>
        <v>Nov</v>
      </c>
      <c r="D319">
        <f>VALUE(TEXT(Date[[#This Row],[DATE]],"YYYY"))</f>
        <v>2019</v>
      </c>
      <c r="E319">
        <f>Date[[#This Row],[YEAR]]+(Date[[#This Row],[MONTH_NUMBER]]/100)</f>
        <v>2019.11</v>
      </c>
    </row>
    <row r="320" spans="1:5" x14ac:dyDescent="0.25">
      <c r="A320" s="29">
        <v>43784</v>
      </c>
      <c r="B320">
        <f>VALUE(TEXT(Date[[#This Row],[DATE]],"M"))</f>
        <v>11</v>
      </c>
      <c r="C320" t="str">
        <f>TEXT(Date[[#This Row],[DATE]],"MMM")</f>
        <v>Nov</v>
      </c>
      <c r="D320">
        <f>VALUE(TEXT(Date[[#This Row],[DATE]],"YYYY"))</f>
        <v>2019</v>
      </c>
      <c r="E320">
        <f>Date[[#This Row],[YEAR]]+(Date[[#This Row],[MONTH_NUMBER]]/100)</f>
        <v>2019.11</v>
      </c>
    </row>
    <row r="321" spans="1:5" x14ac:dyDescent="0.25">
      <c r="A321" s="29">
        <v>43785</v>
      </c>
      <c r="B321">
        <f>VALUE(TEXT(Date[[#This Row],[DATE]],"M"))</f>
        <v>11</v>
      </c>
      <c r="C321" t="str">
        <f>TEXT(Date[[#This Row],[DATE]],"MMM")</f>
        <v>Nov</v>
      </c>
      <c r="D321">
        <f>VALUE(TEXT(Date[[#This Row],[DATE]],"YYYY"))</f>
        <v>2019</v>
      </c>
      <c r="E321">
        <f>Date[[#This Row],[YEAR]]+(Date[[#This Row],[MONTH_NUMBER]]/100)</f>
        <v>2019.11</v>
      </c>
    </row>
    <row r="322" spans="1:5" x14ac:dyDescent="0.25">
      <c r="A322" s="29">
        <v>43786</v>
      </c>
      <c r="B322">
        <f>VALUE(TEXT(Date[[#This Row],[DATE]],"M"))</f>
        <v>11</v>
      </c>
      <c r="C322" t="str">
        <f>TEXT(Date[[#This Row],[DATE]],"MMM")</f>
        <v>Nov</v>
      </c>
      <c r="D322">
        <f>VALUE(TEXT(Date[[#This Row],[DATE]],"YYYY"))</f>
        <v>2019</v>
      </c>
      <c r="E322">
        <f>Date[[#This Row],[YEAR]]+(Date[[#This Row],[MONTH_NUMBER]]/100)</f>
        <v>2019.11</v>
      </c>
    </row>
    <row r="323" spans="1:5" x14ac:dyDescent="0.25">
      <c r="A323" s="29">
        <v>43787</v>
      </c>
      <c r="B323">
        <f>VALUE(TEXT(Date[[#This Row],[DATE]],"M"))</f>
        <v>11</v>
      </c>
      <c r="C323" t="str">
        <f>TEXT(Date[[#This Row],[DATE]],"MMM")</f>
        <v>Nov</v>
      </c>
      <c r="D323">
        <f>VALUE(TEXT(Date[[#This Row],[DATE]],"YYYY"))</f>
        <v>2019</v>
      </c>
      <c r="E323">
        <f>Date[[#This Row],[YEAR]]+(Date[[#This Row],[MONTH_NUMBER]]/100)</f>
        <v>2019.11</v>
      </c>
    </row>
    <row r="324" spans="1:5" x14ac:dyDescent="0.25">
      <c r="A324" s="29">
        <v>43788</v>
      </c>
      <c r="B324">
        <f>VALUE(TEXT(Date[[#This Row],[DATE]],"M"))</f>
        <v>11</v>
      </c>
      <c r="C324" t="str">
        <f>TEXT(Date[[#This Row],[DATE]],"MMM")</f>
        <v>Nov</v>
      </c>
      <c r="D324">
        <f>VALUE(TEXT(Date[[#This Row],[DATE]],"YYYY"))</f>
        <v>2019</v>
      </c>
      <c r="E324">
        <f>Date[[#This Row],[YEAR]]+(Date[[#This Row],[MONTH_NUMBER]]/100)</f>
        <v>2019.11</v>
      </c>
    </row>
    <row r="325" spans="1:5" x14ac:dyDescent="0.25">
      <c r="A325" s="29">
        <v>43789</v>
      </c>
      <c r="B325">
        <f>VALUE(TEXT(Date[[#This Row],[DATE]],"M"))</f>
        <v>11</v>
      </c>
      <c r="C325" t="str">
        <f>TEXT(Date[[#This Row],[DATE]],"MMM")</f>
        <v>Nov</v>
      </c>
      <c r="D325">
        <f>VALUE(TEXT(Date[[#This Row],[DATE]],"YYYY"))</f>
        <v>2019</v>
      </c>
      <c r="E325">
        <f>Date[[#This Row],[YEAR]]+(Date[[#This Row],[MONTH_NUMBER]]/100)</f>
        <v>2019.11</v>
      </c>
    </row>
    <row r="326" spans="1:5" x14ac:dyDescent="0.25">
      <c r="A326" s="29">
        <v>43790</v>
      </c>
      <c r="B326">
        <f>VALUE(TEXT(Date[[#This Row],[DATE]],"M"))</f>
        <v>11</v>
      </c>
      <c r="C326" t="str">
        <f>TEXT(Date[[#This Row],[DATE]],"MMM")</f>
        <v>Nov</v>
      </c>
      <c r="D326">
        <f>VALUE(TEXT(Date[[#This Row],[DATE]],"YYYY"))</f>
        <v>2019</v>
      </c>
      <c r="E326">
        <f>Date[[#This Row],[YEAR]]+(Date[[#This Row],[MONTH_NUMBER]]/100)</f>
        <v>2019.11</v>
      </c>
    </row>
    <row r="327" spans="1:5" x14ac:dyDescent="0.25">
      <c r="A327" s="29">
        <v>43791</v>
      </c>
      <c r="B327">
        <f>VALUE(TEXT(Date[[#This Row],[DATE]],"M"))</f>
        <v>11</v>
      </c>
      <c r="C327" t="str">
        <f>TEXT(Date[[#This Row],[DATE]],"MMM")</f>
        <v>Nov</v>
      </c>
      <c r="D327">
        <f>VALUE(TEXT(Date[[#This Row],[DATE]],"YYYY"))</f>
        <v>2019</v>
      </c>
      <c r="E327">
        <f>Date[[#This Row],[YEAR]]+(Date[[#This Row],[MONTH_NUMBER]]/100)</f>
        <v>2019.11</v>
      </c>
    </row>
    <row r="328" spans="1:5" x14ac:dyDescent="0.25">
      <c r="A328" s="29">
        <v>43792</v>
      </c>
      <c r="B328">
        <f>VALUE(TEXT(Date[[#This Row],[DATE]],"M"))</f>
        <v>11</v>
      </c>
      <c r="C328" t="str">
        <f>TEXT(Date[[#This Row],[DATE]],"MMM")</f>
        <v>Nov</v>
      </c>
      <c r="D328">
        <f>VALUE(TEXT(Date[[#This Row],[DATE]],"YYYY"))</f>
        <v>2019</v>
      </c>
      <c r="E328">
        <f>Date[[#This Row],[YEAR]]+(Date[[#This Row],[MONTH_NUMBER]]/100)</f>
        <v>2019.11</v>
      </c>
    </row>
    <row r="329" spans="1:5" x14ac:dyDescent="0.25">
      <c r="A329" s="29">
        <v>43793</v>
      </c>
      <c r="B329">
        <f>VALUE(TEXT(Date[[#This Row],[DATE]],"M"))</f>
        <v>11</v>
      </c>
      <c r="C329" t="str">
        <f>TEXT(Date[[#This Row],[DATE]],"MMM")</f>
        <v>Nov</v>
      </c>
      <c r="D329">
        <f>VALUE(TEXT(Date[[#This Row],[DATE]],"YYYY"))</f>
        <v>2019</v>
      </c>
      <c r="E329">
        <f>Date[[#This Row],[YEAR]]+(Date[[#This Row],[MONTH_NUMBER]]/100)</f>
        <v>2019.11</v>
      </c>
    </row>
    <row r="330" spans="1:5" x14ac:dyDescent="0.25">
      <c r="A330" s="29">
        <v>43794</v>
      </c>
      <c r="B330">
        <f>VALUE(TEXT(Date[[#This Row],[DATE]],"M"))</f>
        <v>11</v>
      </c>
      <c r="C330" t="str">
        <f>TEXT(Date[[#This Row],[DATE]],"MMM")</f>
        <v>Nov</v>
      </c>
      <c r="D330">
        <f>VALUE(TEXT(Date[[#This Row],[DATE]],"YYYY"))</f>
        <v>2019</v>
      </c>
      <c r="E330">
        <f>Date[[#This Row],[YEAR]]+(Date[[#This Row],[MONTH_NUMBER]]/100)</f>
        <v>2019.11</v>
      </c>
    </row>
    <row r="331" spans="1:5" x14ac:dyDescent="0.25">
      <c r="A331" s="29">
        <v>43795</v>
      </c>
      <c r="B331">
        <f>VALUE(TEXT(Date[[#This Row],[DATE]],"M"))</f>
        <v>11</v>
      </c>
      <c r="C331" t="str">
        <f>TEXT(Date[[#This Row],[DATE]],"MMM")</f>
        <v>Nov</v>
      </c>
      <c r="D331">
        <f>VALUE(TEXT(Date[[#This Row],[DATE]],"YYYY"))</f>
        <v>2019</v>
      </c>
      <c r="E331">
        <f>Date[[#This Row],[YEAR]]+(Date[[#This Row],[MONTH_NUMBER]]/100)</f>
        <v>2019.11</v>
      </c>
    </row>
    <row r="332" spans="1:5" x14ac:dyDescent="0.25">
      <c r="A332" s="29">
        <v>43796</v>
      </c>
      <c r="B332">
        <f>VALUE(TEXT(Date[[#This Row],[DATE]],"M"))</f>
        <v>11</v>
      </c>
      <c r="C332" t="str">
        <f>TEXT(Date[[#This Row],[DATE]],"MMM")</f>
        <v>Nov</v>
      </c>
      <c r="D332">
        <f>VALUE(TEXT(Date[[#This Row],[DATE]],"YYYY"))</f>
        <v>2019</v>
      </c>
      <c r="E332">
        <f>Date[[#This Row],[YEAR]]+(Date[[#This Row],[MONTH_NUMBER]]/100)</f>
        <v>2019.11</v>
      </c>
    </row>
    <row r="333" spans="1:5" x14ac:dyDescent="0.25">
      <c r="A333" s="29">
        <v>43797</v>
      </c>
      <c r="B333">
        <f>VALUE(TEXT(Date[[#This Row],[DATE]],"M"))</f>
        <v>11</v>
      </c>
      <c r="C333" t="str">
        <f>TEXT(Date[[#This Row],[DATE]],"MMM")</f>
        <v>Nov</v>
      </c>
      <c r="D333">
        <f>VALUE(TEXT(Date[[#This Row],[DATE]],"YYYY"))</f>
        <v>2019</v>
      </c>
      <c r="E333">
        <f>Date[[#This Row],[YEAR]]+(Date[[#This Row],[MONTH_NUMBER]]/100)</f>
        <v>2019.11</v>
      </c>
    </row>
    <row r="334" spans="1:5" x14ac:dyDescent="0.25">
      <c r="A334" s="29">
        <v>43798</v>
      </c>
      <c r="B334">
        <f>VALUE(TEXT(Date[[#This Row],[DATE]],"M"))</f>
        <v>11</v>
      </c>
      <c r="C334" t="str">
        <f>TEXT(Date[[#This Row],[DATE]],"MMM")</f>
        <v>Nov</v>
      </c>
      <c r="D334">
        <f>VALUE(TEXT(Date[[#This Row],[DATE]],"YYYY"))</f>
        <v>2019</v>
      </c>
      <c r="E334">
        <f>Date[[#This Row],[YEAR]]+(Date[[#This Row],[MONTH_NUMBER]]/100)</f>
        <v>2019.11</v>
      </c>
    </row>
    <row r="335" spans="1:5" x14ac:dyDescent="0.25">
      <c r="A335" s="29">
        <v>43799</v>
      </c>
      <c r="B335">
        <f>VALUE(TEXT(Date[[#This Row],[DATE]],"M"))</f>
        <v>11</v>
      </c>
      <c r="C335" t="str">
        <f>TEXT(Date[[#This Row],[DATE]],"MMM")</f>
        <v>Nov</v>
      </c>
      <c r="D335">
        <f>VALUE(TEXT(Date[[#This Row],[DATE]],"YYYY"))</f>
        <v>2019</v>
      </c>
      <c r="E335">
        <f>Date[[#This Row],[YEAR]]+(Date[[#This Row],[MONTH_NUMBER]]/100)</f>
        <v>2019.11</v>
      </c>
    </row>
    <row r="336" spans="1:5" x14ac:dyDescent="0.25">
      <c r="A336" s="29">
        <v>43800</v>
      </c>
      <c r="B336">
        <f>VALUE(TEXT(Date[[#This Row],[DATE]],"M"))</f>
        <v>12</v>
      </c>
      <c r="C336" t="str">
        <f>TEXT(Date[[#This Row],[DATE]],"MMM")</f>
        <v>Dec</v>
      </c>
      <c r="D336">
        <f>VALUE(TEXT(Date[[#This Row],[DATE]],"YYYY"))</f>
        <v>2019</v>
      </c>
      <c r="E336">
        <f>Date[[#This Row],[YEAR]]+(Date[[#This Row],[MONTH_NUMBER]]/100)</f>
        <v>2019.12</v>
      </c>
    </row>
    <row r="337" spans="1:5" x14ac:dyDescent="0.25">
      <c r="A337" s="29">
        <v>43801</v>
      </c>
      <c r="B337">
        <f>VALUE(TEXT(Date[[#This Row],[DATE]],"M"))</f>
        <v>12</v>
      </c>
      <c r="C337" t="str">
        <f>TEXT(Date[[#This Row],[DATE]],"MMM")</f>
        <v>Dec</v>
      </c>
      <c r="D337">
        <f>VALUE(TEXT(Date[[#This Row],[DATE]],"YYYY"))</f>
        <v>2019</v>
      </c>
      <c r="E337">
        <f>Date[[#This Row],[YEAR]]+(Date[[#This Row],[MONTH_NUMBER]]/100)</f>
        <v>2019.12</v>
      </c>
    </row>
    <row r="338" spans="1:5" x14ac:dyDescent="0.25">
      <c r="A338" s="29">
        <v>43802</v>
      </c>
      <c r="B338">
        <f>VALUE(TEXT(Date[[#This Row],[DATE]],"M"))</f>
        <v>12</v>
      </c>
      <c r="C338" t="str">
        <f>TEXT(Date[[#This Row],[DATE]],"MMM")</f>
        <v>Dec</v>
      </c>
      <c r="D338">
        <f>VALUE(TEXT(Date[[#This Row],[DATE]],"YYYY"))</f>
        <v>2019</v>
      </c>
      <c r="E338">
        <f>Date[[#This Row],[YEAR]]+(Date[[#This Row],[MONTH_NUMBER]]/100)</f>
        <v>2019.12</v>
      </c>
    </row>
    <row r="339" spans="1:5" x14ac:dyDescent="0.25">
      <c r="A339" s="29">
        <v>43803</v>
      </c>
      <c r="B339">
        <f>VALUE(TEXT(Date[[#This Row],[DATE]],"M"))</f>
        <v>12</v>
      </c>
      <c r="C339" t="str">
        <f>TEXT(Date[[#This Row],[DATE]],"MMM")</f>
        <v>Dec</v>
      </c>
      <c r="D339">
        <f>VALUE(TEXT(Date[[#This Row],[DATE]],"YYYY"))</f>
        <v>2019</v>
      </c>
      <c r="E339">
        <f>Date[[#This Row],[YEAR]]+(Date[[#This Row],[MONTH_NUMBER]]/100)</f>
        <v>2019.12</v>
      </c>
    </row>
    <row r="340" spans="1:5" x14ac:dyDescent="0.25">
      <c r="A340" s="29">
        <v>43804</v>
      </c>
      <c r="B340">
        <f>VALUE(TEXT(Date[[#This Row],[DATE]],"M"))</f>
        <v>12</v>
      </c>
      <c r="C340" t="str">
        <f>TEXT(Date[[#This Row],[DATE]],"MMM")</f>
        <v>Dec</v>
      </c>
      <c r="D340">
        <f>VALUE(TEXT(Date[[#This Row],[DATE]],"YYYY"))</f>
        <v>2019</v>
      </c>
      <c r="E340">
        <f>Date[[#This Row],[YEAR]]+(Date[[#This Row],[MONTH_NUMBER]]/100)</f>
        <v>2019.12</v>
      </c>
    </row>
    <row r="341" spans="1:5" x14ac:dyDescent="0.25">
      <c r="A341" s="29">
        <v>43805</v>
      </c>
      <c r="B341">
        <f>VALUE(TEXT(Date[[#This Row],[DATE]],"M"))</f>
        <v>12</v>
      </c>
      <c r="C341" t="str">
        <f>TEXT(Date[[#This Row],[DATE]],"MMM")</f>
        <v>Dec</v>
      </c>
      <c r="D341">
        <f>VALUE(TEXT(Date[[#This Row],[DATE]],"YYYY"))</f>
        <v>2019</v>
      </c>
      <c r="E341">
        <f>Date[[#This Row],[YEAR]]+(Date[[#This Row],[MONTH_NUMBER]]/100)</f>
        <v>2019.12</v>
      </c>
    </row>
    <row r="342" spans="1:5" x14ac:dyDescent="0.25">
      <c r="A342" s="29">
        <v>43806</v>
      </c>
      <c r="B342">
        <f>VALUE(TEXT(Date[[#This Row],[DATE]],"M"))</f>
        <v>12</v>
      </c>
      <c r="C342" t="str">
        <f>TEXT(Date[[#This Row],[DATE]],"MMM")</f>
        <v>Dec</v>
      </c>
      <c r="D342">
        <f>VALUE(TEXT(Date[[#This Row],[DATE]],"YYYY"))</f>
        <v>2019</v>
      </c>
      <c r="E342">
        <f>Date[[#This Row],[YEAR]]+(Date[[#This Row],[MONTH_NUMBER]]/100)</f>
        <v>2019.12</v>
      </c>
    </row>
    <row r="343" spans="1:5" x14ac:dyDescent="0.25">
      <c r="A343" s="29">
        <v>43807</v>
      </c>
      <c r="B343">
        <f>VALUE(TEXT(Date[[#This Row],[DATE]],"M"))</f>
        <v>12</v>
      </c>
      <c r="C343" t="str">
        <f>TEXT(Date[[#This Row],[DATE]],"MMM")</f>
        <v>Dec</v>
      </c>
      <c r="D343">
        <f>VALUE(TEXT(Date[[#This Row],[DATE]],"YYYY"))</f>
        <v>2019</v>
      </c>
      <c r="E343">
        <f>Date[[#This Row],[YEAR]]+(Date[[#This Row],[MONTH_NUMBER]]/100)</f>
        <v>2019.12</v>
      </c>
    </row>
    <row r="344" spans="1:5" x14ac:dyDescent="0.25">
      <c r="A344" s="29">
        <v>43808</v>
      </c>
      <c r="B344">
        <f>VALUE(TEXT(Date[[#This Row],[DATE]],"M"))</f>
        <v>12</v>
      </c>
      <c r="C344" t="str">
        <f>TEXT(Date[[#This Row],[DATE]],"MMM")</f>
        <v>Dec</v>
      </c>
      <c r="D344">
        <f>VALUE(TEXT(Date[[#This Row],[DATE]],"YYYY"))</f>
        <v>2019</v>
      </c>
      <c r="E344">
        <f>Date[[#This Row],[YEAR]]+(Date[[#This Row],[MONTH_NUMBER]]/100)</f>
        <v>2019.12</v>
      </c>
    </row>
    <row r="345" spans="1:5" x14ac:dyDescent="0.25">
      <c r="A345" s="29">
        <v>43809</v>
      </c>
      <c r="B345">
        <f>VALUE(TEXT(Date[[#This Row],[DATE]],"M"))</f>
        <v>12</v>
      </c>
      <c r="C345" t="str">
        <f>TEXT(Date[[#This Row],[DATE]],"MMM")</f>
        <v>Dec</v>
      </c>
      <c r="D345">
        <f>VALUE(TEXT(Date[[#This Row],[DATE]],"YYYY"))</f>
        <v>2019</v>
      </c>
      <c r="E345">
        <f>Date[[#This Row],[YEAR]]+(Date[[#This Row],[MONTH_NUMBER]]/100)</f>
        <v>2019.12</v>
      </c>
    </row>
    <row r="346" spans="1:5" x14ac:dyDescent="0.25">
      <c r="A346" s="29">
        <v>43810</v>
      </c>
      <c r="B346">
        <f>VALUE(TEXT(Date[[#This Row],[DATE]],"M"))</f>
        <v>12</v>
      </c>
      <c r="C346" t="str">
        <f>TEXT(Date[[#This Row],[DATE]],"MMM")</f>
        <v>Dec</v>
      </c>
      <c r="D346">
        <f>VALUE(TEXT(Date[[#This Row],[DATE]],"YYYY"))</f>
        <v>2019</v>
      </c>
      <c r="E346">
        <f>Date[[#This Row],[YEAR]]+(Date[[#This Row],[MONTH_NUMBER]]/100)</f>
        <v>2019.12</v>
      </c>
    </row>
    <row r="347" spans="1:5" x14ac:dyDescent="0.25">
      <c r="A347" s="29">
        <v>43811</v>
      </c>
      <c r="B347">
        <f>VALUE(TEXT(Date[[#This Row],[DATE]],"M"))</f>
        <v>12</v>
      </c>
      <c r="C347" t="str">
        <f>TEXT(Date[[#This Row],[DATE]],"MMM")</f>
        <v>Dec</v>
      </c>
      <c r="D347">
        <f>VALUE(TEXT(Date[[#This Row],[DATE]],"YYYY"))</f>
        <v>2019</v>
      </c>
      <c r="E347">
        <f>Date[[#This Row],[YEAR]]+(Date[[#This Row],[MONTH_NUMBER]]/100)</f>
        <v>2019.12</v>
      </c>
    </row>
    <row r="348" spans="1:5" x14ac:dyDescent="0.25">
      <c r="A348" s="29">
        <v>43812</v>
      </c>
      <c r="B348">
        <f>VALUE(TEXT(Date[[#This Row],[DATE]],"M"))</f>
        <v>12</v>
      </c>
      <c r="C348" t="str">
        <f>TEXT(Date[[#This Row],[DATE]],"MMM")</f>
        <v>Dec</v>
      </c>
      <c r="D348">
        <f>VALUE(TEXT(Date[[#This Row],[DATE]],"YYYY"))</f>
        <v>2019</v>
      </c>
      <c r="E348">
        <f>Date[[#This Row],[YEAR]]+(Date[[#This Row],[MONTH_NUMBER]]/100)</f>
        <v>2019.12</v>
      </c>
    </row>
    <row r="349" spans="1:5" x14ac:dyDescent="0.25">
      <c r="A349" s="29">
        <v>43813</v>
      </c>
      <c r="B349">
        <f>VALUE(TEXT(Date[[#This Row],[DATE]],"M"))</f>
        <v>12</v>
      </c>
      <c r="C349" t="str">
        <f>TEXT(Date[[#This Row],[DATE]],"MMM")</f>
        <v>Dec</v>
      </c>
      <c r="D349">
        <f>VALUE(TEXT(Date[[#This Row],[DATE]],"YYYY"))</f>
        <v>2019</v>
      </c>
      <c r="E349">
        <f>Date[[#This Row],[YEAR]]+(Date[[#This Row],[MONTH_NUMBER]]/100)</f>
        <v>2019.12</v>
      </c>
    </row>
    <row r="350" spans="1:5" x14ac:dyDescent="0.25">
      <c r="A350" s="29">
        <v>43814</v>
      </c>
      <c r="B350">
        <f>VALUE(TEXT(Date[[#This Row],[DATE]],"M"))</f>
        <v>12</v>
      </c>
      <c r="C350" t="str">
        <f>TEXT(Date[[#This Row],[DATE]],"MMM")</f>
        <v>Dec</v>
      </c>
      <c r="D350">
        <f>VALUE(TEXT(Date[[#This Row],[DATE]],"YYYY"))</f>
        <v>2019</v>
      </c>
      <c r="E350">
        <f>Date[[#This Row],[YEAR]]+(Date[[#This Row],[MONTH_NUMBER]]/100)</f>
        <v>2019.12</v>
      </c>
    </row>
    <row r="351" spans="1:5" x14ac:dyDescent="0.25">
      <c r="A351" s="29">
        <v>43815</v>
      </c>
      <c r="B351">
        <f>VALUE(TEXT(Date[[#This Row],[DATE]],"M"))</f>
        <v>12</v>
      </c>
      <c r="C351" t="str">
        <f>TEXT(Date[[#This Row],[DATE]],"MMM")</f>
        <v>Dec</v>
      </c>
      <c r="D351">
        <f>VALUE(TEXT(Date[[#This Row],[DATE]],"YYYY"))</f>
        <v>2019</v>
      </c>
      <c r="E351">
        <f>Date[[#This Row],[YEAR]]+(Date[[#This Row],[MONTH_NUMBER]]/100)</f>
        <v>2019.12</v>
      </c>
    </row>
    <row r="352" spans="1:5" x14ac:dyDescent="0.25">
      <c r="A352" s="29">
        <v>43816</v>
      </c>
      <c r="B352">
        <f>VALUE(TEXT(Date[[#This Row],[DATE]],"M"))</f>
        <v>12</v>
      </c>
      <c r="C352" t="str">
        <f>TEXT(Date[[#This Row],[DATE]],"MMM")</f>
        <v>Dec</v>
      </c>
      <c r="D352">
        <f>VALUE(TEXT(Date[[#This Row],[DATE]],"YYYY"))</f>
        <v>2019</v>
      </c>
      <c r="E352">
        <f>Date[[#This Row],[YEAR]]+(Date[[#This Row],[MONTH_NUMBER]]/100)</f>
        <v>2019.12</v>
      </c>
    </row>
    <row r="353" spans="1:5" x14ac:dyDescent="0.25">
      <c r="A353" s="29">
        <v>43817</v>
      </c>
      <c r="B353">
        <f>VALUE(TEXT(Date[[#This Row],[DATE]],"M"))</f>
        <v>12</v>
      </c>
      <c r="C353" t="str">
        <f>TEXT(Date[[#This Row],[DATE]],"MMM")</f>
        <v>Dec</v>
      </c>
      <c r="D353">
        <f>VALUE(TEXT(Date[[#This Row],[DATE]],"YYYY"))</f>
        <v>2019</v>
      </c>
      <c r="E353">
        <f>Date[[#This Row],[YEAR]]+(Date[[#This Row],[MONTH_NUMBER]]/100)</f>
        <v>2019.12</v>
      </c>
    </row>
    <row r="354" spans="1:5" x14ac:dyDescent="0.25">
      <c r="A354" s="29">
        <v>43818</v>
      </c>
      <c r="B354">
        <f>VALUE(TEXT(Date[[#This Row],[DATE]],"M"))</f>
        <v>12</v>
      </c>
      <c r="C354" t="str">
        <f>TEXT(Date[[#This Row],[DATE]],"MMM")</f>
        <v>Dec</v>
      </c>
      <c r="D354">
        <f>VALUE(TEXT(Date[[#This Row],[DATE]],"YYYY"))</f>
        <v>2019</v>
      </c>
      <c r="E354">
        <f>Date[[#This Row],[YEAR]]+(Date[[#This Row],[MONTH_NUMBER]]/100)</f>
        <v>2019.12</v>
      </c>
    </row>
    <row r="355" spans="1:5" x14ac:dyDescent="0.25">
      <c r="A355" s="29">
        <v>43819</v>
      </c>
      <c r="B355">
        <f>VALUE(TEXT(Date[[#This Row],[DATE]],"M"))</f>
        <v>12</v>
      </c>
      <c r="C355" t="str">
        <f>TEXT(Date[[#This Row],[DATE]],"MMM")</f>
        <v>Dec</v>
      </c>
      <c r="D355">
        <f>VALUE(TEXT(Date[[#This Row],[DATE]],"YYYY"))</f>
        <v>2019</v>
      </c>
      <c r="E355">
        <f>Date[[#This Row],[YEAR]]+(Date[[#This Row],[MONTH_NUMBER]]/100)</f>
        <v>2019.12</v>
      </c>
    </row>
    <row r="356" spans="1:5" x14ac:dyDescent="0.25">
      <c r="A356" s="29">
        <v>43820</v>
      </c>
      <c r="B356">
        <f>VALUE(TEXT(Date[[#This Row],[DATE]],"M"))</f>
        <v>12</v>
      </c>
      <c r="C356" t="str">
        <f>TEXT(Date[[#This Row],[DATE]],"MMM")</f>
        <v>Dec</v>
      </c>
      <c r="D356">
        <f>VALUE(TEXT(Date[[#This Row],[DATE]],"YYYY"))</f>
        <v>2019</v>
      </c>
      <c r="E356">
        <f>Date[[#This Row],[YEAR]]+(Date[[#This Row],[MONTH_NUMBER]]/100)</f>
        <v>2019.12</v>
      </c>
    </row>
    <row r="357" spans="1:5" x14ac:dyDescent="0.25">
      <c r="A357" s="29">
        <v>43821</v>
      </c>
      <c r="B357">
        <f>VALUE(TEXT(Date[[#This Row],[DATE]],"M"))</f>
        <v>12</v>
      </c>
      <c r="C357" t="str">
        <f>TEXT(Date[[#This Row],[DATE]],"MMM")</f>
        <v>Dec</v>
      </c>
      <c r="D357">
        <f>VALUE(TEXT(Date[[#This Row],[DATE]],"YYYY"))</f>
        <v>2019</v>
      </c>
      <c r="E357">
        <f>Date[[#This Row],[YEAR]]+(Date[[#This Row],[MONTH_NUMBER]]/100)</f>
        <v>2019.12</v>
      </c>
    </row>
    <row r="358" spans="1:5" x14ac:dyDescent="0.25">
      <c r="A358" s="29">
        <v>43822</v>
      </c>
      <c r="B358">
        <f>VALUE(TEXT(Date[[#This Row],[DATE]],"M"))</f>
        <v>12</v>
      </c>
      <c r="C358" t="str">
        <f>TEXT(Date[[#This Row],[DATE]],"MMM")</f>
        <v>Dec</v>
      </c>
      <c r="D358">
        <f>VALUE(TEXT(Date[[#This Row],[DATE]],"YYYY"))</f>
        <v>2019</v>
      </c>
      <c r="E358">
        <f>Date[[#This Row],[YEAR]]+(Date[[#This Row],[MONTH_NUMBER]]/100)</f>
        <v>2019.12</v>
      </c>
    </row>
    <row r="359" spans="1:5" x14ac:dyDescent="0.25">
      <c r="A359" s="29">
        <v>43823</v>
      </c>
      <c r="B359">
        <f>VALUE(TEXT(Date[[#This Row],[DATE]],"M"))</f>
        <v>12</v>
      </c>
      <c r="C359" t="str">
        <f>TEXT(Date[[#This Row],[DATE]],"MMM")</f>
        <v>Dec</v>
      </c>
      <c r="D359">
        <f>VALUE(TEXT(Date[[#This Row],[DATE]],"YYYY"))</f>
        <v>2019</v>
      </c>
      <c r="E359">
        <f>Date[[#This Row],[YEAR]]+(Date[[#This Row],[MONTH_NUMBER]]/100)</f>
        <v>2019.12</v>
      </c>
    </row>
    <row r="360" spans="1:5" x14ac:dyDescent="0.25">
      <c r="A360" s="29">
        <v>43824</v>
      </c>
      <c r="B360">
        <f>VALUE(TEXT(Date[[#This Row],[DATE]],"M"))</f>
        <v>12</v>
      </c>
      <c r="C360" t="str">
        <f>TEXT(Date[[#This Row],[DATE]],"MMM")</f>
        <v>Dec</v>
      </c>
      <c r="D360">
        <f>VALUE(TEXT(Date[[#This Row],[DATE]],"YYYY"))</f>
        <v>2019</v>
      </c>
      <c r="E360">
        <f>Date[[#This Row],[YEAR]]+(Date[[#This Row],[MONTH_NUMBER]]/100)</f>
        <v>2019.12</v>
      </c>
    </row>
    <row r="361" spans="1:5" x14ac:dyDescent="0.25">
      <c r="A361" s="29">
        <v>43825</v>
      </c>
      <c r="B361">
        <f>VALUE(TEXT(Date[[#This Row],[DATE]],"M"))</f>
        <v>12</v>
      </c>
      <c r="C361" t="str">
        <f>TEXT(Date[[#This Row],[DATE]],"MMM")</f>
        <v>Dec</v>
      </c>
      <c r="D361">
        <f>VALUE(TEXT(Date[[#This Row],[DATE]],"YYYY"))</f>
        <v>2019</v>
      </c>
      <c r="E361">
        <f>Date[[#This Row],[YEAR]]+(Date[[#This Row],[MONTH_NUMBER]]/100)</f>
        <v>2019.12</v>
      </c>
    </row>
    <row r="362" spans="1:5" x14ac:dyDescent="0.25">
      <c r="A362" s="29">
        <v>43826</v>
      </c>
      <c r="B362">
        <f>VALUE(TEXT(Date[[#This Row],[DATE]],"M"))</f>
        <v>12</v>
      </c>
      <c r="C362" t="str">
        <f>TEXT(Date[[#This Row],[DATE]],"MMM")</f>
        <v>Dec</v>
      </c>
      <c r="D362">
        <f>VALUE(TEXT(Date[[#This Row],[DATE]],"YYYY"))</f>
        <v>2019</v>
      </c>
      <c r="E362">
        <f>Date[[#This Row],[YEAR]]+(Date[[#This Row],[MONTH_NUMBER]]/100)</f>
        <v>2019.12</v>
      </c>
    </row>
    <row r="363" spans="1:5" x14ac:dyDescent="0.25">
      <c r="A363" s="29">
        <v>43827</v>
      </c>
      <c r="B363">
        <f>VALUE(TEXT(Date[[#This Row],[DATE]],"M"))</f>
        <v>12</v>
      </c>
      <c r="C363" t="str">
        <f>TEXT(Date[[#This Row],[DATE]],"MMM")</f>
        <v>Dec</v>
      </c>
      <c r="D363">
        <f>VALUE(TEXT(Date[[#This Row],[DATE]],"YYYY"))</f>
        <v>2019</v>
      </c>
      <c r="E363">
        <f>Date[[#This Row],[YEAR]]+(Date[[#This Row],[MONTH_NUMBER]]/100)</f>
        <v>2019.12</v>
      </c>
    </row>
    <row r="364" spans="1:5" x14ac:dyDescent="0.25">
      <c r="A364" s="29">
        <v>43828</v>
      </c>
      <c r="B364">
        <f>VALUE(TEXT(Date[[#This Row],[DATE]],"M"))</f>
        <v>12</v>
      </c>
      <c r="C364" t="str">
        <f>TEXT(Date[[#This Row],[DATE]],"MMM")</f>
        <v>Dec</v>
      </c>
      <c r="D364">
        <f>VALUE(TEXT(Date[[#This Row],[DATE]],"YYYY"))</f>
        <v>2019</v>
      </c>
      <c r="E364">
        <f>Date[[#This Row],[YEAR]]+(Date[[#This Row],[MONTH_NUMBER]]/100)</f>
        <v>2019.12</v>
      </c>
    </row>
    <row r="365" spans="1:5" x14ac:dyDescent="0.25">
      <c r="A365" s="29">
        <v>43829</v>
      </c>
      <c r="B365">
        <f>VALUE(TEXT(Date[[#This Row],[DATE]],"M"))</f>
        <v>12</v>
      </c>
      <c r="C365" t="str">
        <f>TEXT(Date[[#This Row],[DATE]],"MMM")</f>
        <v>Dec</v>
      </c>
      <c r="D365">
        <f>VALUE(TEXT(Date[[#This Row],[DATE]],"YYYY"))</f>
        <v>2019</v>
      </c>
      <c r="E365">
        <f>Date[[#This Row],[YEAR]]+(Date[[#This Row],[MONTH_NUMBER]]/100)</f>
        <v>2019.12</v>
      </c>
    </row>
    <row r="366" spans="1:5" x14ac:dyDescent="0.25">
      <c r="A366" s="29">
        <v>43830</v>
      </c>
      <c r="B366">
        <f>VALUE(TEXT(Date[[#This Row],[DATE]],"M"))</f>
        <v>12</v>
      </c>
      <c r="C366" t="str">
        <f>TEXT(Date[[#This Row],[DATE]],"MMM")</f>
        <v>Dec</v>
      </c>
      <c r="D366">
        <f>VALUE(TEXT(Date[[#This Row],[DATE]],"YYYY"))</f>
        <v>2019</v>
      </c>
      <c r="E366">
        <f>Date[[#This Row],[YEAR]]+(Date[[#This Row],[MONTH_NUMBER]]/100)</f>
        <v>2019.12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2:C15"/>
  <sheetViews>
    <sheetView showGridLines="0" tabSelected="1" workbookViewId="0">
      <selection activeCell="C6" sqref="C6"/>
    </sheetView>
  </sheetViews>
  <sheetFormatPr defaultRowHeight="15" x14ac:dyDescent="0.25"/>
  <cols>
    <col min="1" max="1" width="1.85546875" customWidth="1"/>
    <col min="2" max="2" width="19.42578125" bestFit="1" customWidth="1"/>
    <col min="3" max="3" width="39" customWidth="1"/>
  </cols>
  <sheetData>
    <row r="2" spans="2:3" ht="23.25" x14ac:dyDescent="0.35">
      <c r="B2" s="65" t="s">
        <v>130</v>
      </c>
      <c r="C2" s="66"/>
    </row>
    <row r="3" spans="2:3" x14ac:dyDescent="0.25">
      <c r="B3" s="66"/>
      <c r="C3" s="66"/>
    </row>
    <row r="4" spans="2:3" x14ac:dyDescent="0.25">
      <c r="B4" s="66" t="s">
        <v>131</v>
      </c>
      <c r="C4" s="66" t="s">
        <v>207</v>
      </c>
    </row>
    <row r="5" spans="2:3" x14ac:dyDescent="0.25">
      <c r="B5" s="66" t="s">
        <v>132</v>
      </c>
      <c r="C5" s="66" t="s">
        <v>208</v>
      </c>
    </row>
    <row r="9" spans="2:3" ht="21" x14ac:dyDescent="0.35">
      <c r="B9" s="67" t="s">
        <v>199</v>
      </c>
      <c r="C9" s="68"/>
    </row>
    <row r="10" spans="2:3" x14ac:dyDescent="0.25">
      <c r="B10" s="68" t="s">
        <v>200</v>
      </c>
      <c r="C10" s="68"/>
    </row>
    <row r="11" spans="2:3" x14ac:dyDescent="0.25">
      <c r="B11" s="68" t="s">
        <v>201</v>
      </c>
      <c r="C11" s="68"/>
    </row>
    <row r="12" spans="2:3" x14ac:dyDescent="0.25">
      <c r="B12" s="68"/>
      <c r="C12" s="68"/>
    </row>
    <row r="13" spans="2:3" x14ac:dyDescent="0.25">
      <c r="B13" s="68" t="s">
        <v>202</v>
      </c>
      <c r="C13" s="68"/>
    </row>
    <row r="14" spans="2:3" ht="15.75" x14ac:dyDescent="0.25">
      <c r="B14" s="69" t="s">
        <v>203</v>
      </c>
      <c r="C14" s="69" t="s">
        <v>205</v>
      </c>
    </row>
    <row r="15" spans="2:3" ht="15.75" x14ac:dyDescent="0.25">
      <c r="B15" s="69" t="s">
        <v>204</v>
      </c>
      <c r="C15" s="69" t="s">
        <v>206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ABFAFD77-62B3-48A3-AB87-1A322398FEC7}">
  <ds:schemaRefs/>
</ds:datastoreItem>
</file>

<file path=customXml/itemProps2.xml><?xml version="1.0" encoding="utf-8"?>
<ds:datastoreItem xmlns:ds="http://schemas.openxmlformats.org/officeDocument/2006/customXml" ds:itemID="{80CB6386-BB4E-4E63-9EBE-6601B7F9CE5A}">
  <ds:schemaRefs/>
</ds:datastoreItem>
</file>

<file path=customXml/itemProps3.xml><?xml version="1.0" encoding="utf-8"?>
<ds:datastoreItem xmlns:ds="http://schemas.openxmlformats.org/officeDocument/2006/customXml" ds:itemID="{56FA5DF0-FD7B-43D8-A68C-AA290FD4C2D5}">
  <ds:schemaRefs/>
</ds:datastoreItem>
</file>

<file path=customXml/itemProps4.xml><?xml version="1.0" encoding="utf-8"?>
<ds:datastoreItem xmlns:ds="http://schemas.openxmlformats.org/officeDocument/2006/customXml" ds:itemID="{87F05BD4-5D09-40F9-AECE-2C98082D4287}">
  <ds:schemaRefs/>
</ds:datastoreItem>
</file>

<file path=customXml/itemProps5.xml><?xml version="1.0" encoding="utf-8"?>
<ds:datastoreItem xmlns:ds="http://schemas.openxmlformats.org/officeDocument/2006/customXml" ds:itemID="{C4510681-BC53-4DD3-B255-D62DDFF51133}">
  <ds:schemaRefs/>
</ds:datastoreItem>
</file>

<file path=customXml/itemProps6.xml><?xml version="1.0" encoding="utf-8"?>
<ds:datastoreItem xmlns:ds="http://schemas.openxmlformats.org/officeDocument/2006/customXml" ds:itemID="{FA7856A3-3698-40BF-809A-F4B600F9AE7E}">
  <ds:schemaRefs/>
</ds:datastoreItem>
</file>

<file path=customXml/itemProps7.xml><?xml version="1.0" encoding="utf-8"?>
<ds:datastoreItem xmlns:ds="http://schemas.openxmlformats.org/officeDocument/2006/customXml" ds:itemID="{F28BE80F-1F7A-4BEE-8E43-91FCDC93D200}">
  <ds:schemaRefs/>
</ds:datastoreItem>
</file>

<file path=customXml/itemProps8.xml><?xml version="1.0" encoding="utf-8"?>
<ds:datastoreItem xmlns:ds="http://schemas.openxmlformats.org/officeDocument/2006/customXml" ds:itemID="{314A4FEE-AD4F-43C6-A119-57697A3C7BB8}">
  <ds:schemaRefs/>
</ds:datastoreItem>
</file>

<file path=customXml/itemProps9.xml><?xml version="1.0" encoding="utf-8"?>
<ds:datastoreItem xmlns:ds="http://schemas.openxmlformats.org/officeDocument/2006/customXml" ds:itemID="{899C216F-D93F-44A2-9847-5D3324B3F468}">
  <ds:schemaRefs/>
</ds:datastoreItem>
</file>

<file path=customXml/itemProps10.xml><?xml version="1.0" encoding="utf-8"?>
<ds:datastoreItem xmlns:ds="http://schemas.openxmlformats.org/officeDocument/2006/customXml" ds:itemID="{AD126725-8A3E-450D-8B1D-1A09818DD262}">
  <ds:schemaRefs/>
</ds:datastoreItem>
</file>

<file path=customXml/itemProps11.xml><?xml version="1.0" encoding="utf-8"?>
<ds:datastoreItem xmlns:ds="http://schemas.openxmlformats.org/officeDocument/2006/customXml" ds:itemID="{757A7F4B-14F2-4FC8-A76B-94DDBB3F8C6D}">
  <ds:schemaRefs/>
</ds:datastoreItem>
</file>

<file path=customXml/itemProps12.xml><?xml version="1.0" encoding="utf-8"?>
<ds:datastoreItem xmlns:ds="http://schemas.openxmlformats.org/officeDocument/2006/customXml" ds:itemID="{1362B7AE-0FC5-4FA3-9D7E-EF056C71757F}">
  <ds:schemaRefs/>
</ds:datastoreItem>
</file>

<file path=customXml/itemProps13.xml><?xml version="1.0" encoding="utf-8"?>
<ds:datastoreItem xmlns:ds="http://schemas.openxmlformats.org/officeDocument/2006/customXml" ds:itemID="{1B83A954-E67F-459C-8098-0E3AB19617AD}">
  <ds:schemaRefs/>
</ds:datastoreItem>
</file>

<file path=customXml/itemProps14.xml><?xml version="1.0" encoding="utf-8"?>
<ds:datastoreItem xmlns:ds="http://schemas.openxmlformats.org/officeDocument/2006/customXml" ds:itemID="{9D97F59F-3E4B-4342-8616-EB1D3ED8516B}">
  <ds:schemaRefs/>
</ds:datastoreItem>
</file>

<file path=customXml/itemProps15.xml><?xml version="1.0" encoding="utf-8"?>
<ds:datastoreItem xmlns:ds="http://schemas.openxmlformats.org/officeDocument/2006/customXml" ds:itemID="{C6BE3E9A-FD97-46D0-9E31-8EEEBC1C89E4}">
  <ds:schemaRefs/>
</ds:datastoreItem>
</file>

<file path=customXml/itemProps16.xml><?xml version="1.0" encoding="utf-8"?>
<ds:datastoreItem xmlns:ds="http://schemas.openxmlformats.org/officeDocument/2006/customXml" ds:itemID="{B9538A6C-66A9-4DAF-8C01-657F0A15A860}">
  <ds:schemaRefs/>
</ds:datastoreItem>
</file>

<file path=customXml/itemProps17.xml><?xml version="1.0" encoding="utf-8"?>
<ds:datastoreItem xmlns:ds="http://schemas.openxmlformats.org/officeDocument/2006/customXml" ds:itemID="{01F6A7FE-C264-49BF-A06A-ED5CDC17F8B4}">
  <ds:schemaRefs/>
</ds:datastoreItem>
</file>

<file path=customXml/itemProps18.xml><?xml version="1.0" encoding="utf-8"?>
<ds:datastoreItem xmlns:ds="http://schemas.openxmlformats.org/officeDocument/2006/customXml" ds:itemID="{DD4E9881-EB13-44AD-A66D-B5DE8687C485}">
  <ds:schemaRefs/>
</ds:datastoreItem>
</file>

<file path=customXml/itemProps19.xml><?xml version="1.0" encoding="utf-8"?>
<ds:datastoreItem xmlns:ds="http://schemas.openxmlformats.org/officeDocument/2006/customXml" ds:itemID="{4D68B3A6-B485-47EA-ACD5-0312A1684C49}">
  <ds:schemaRefs/>
</ds:datastoreItem>
</file>

<file path=customXml/itemProps20.xml><?xml version="1.0" encoding="utf-8"?>
<ds:datastoreItem xmlns:ds="http://schemas.openxmlformats.org/officeDocument/2006/customXml" ds:itemID="{E8657AC3-BA23-40A3-8A54-E8BCE43706F0}">
  <ds:schemaRefs/>
</ds:datastoreItem>
</file>

<file path=customXml/itemProps21.xml><?xml version="1.0" encoding="utf-8"?>
<ds:datastoreItem xmlns:ds="http://schemas.openxmlformats.org/officeDocument/2006/customXml" ds:itemID="{FD8E0355-483D-4EF2-97ED-55A7CB3D6BFE}">
  <ds:schemaRefs/>
</ds:datastoreItem>
</file>

<file path=customXml/itemProps22.xml><?xml version="1.0" encoding="utf-8"?>
<ds:datastoreItem xmlns:ds="http://schemas.openxmlformats.org/officeDocument/2006/customXml" ds:itemID="{D4AE418E-886F-45BD-A9B1-743296A29D22}">
  <ds:schemaRefs/>
</ds:datastoreItem>
</file>

<file path=customXml/itemProps23.xml><?xml version="1.0" encoding="utf-8"?>
<ds:datastoreItem xmlns:ds="http://schemas.openxmlformats.org/officeDocument/2006/customXml" ds:itemID="{32AAF632-5C6A-403D-84F9-387E42147BC9}">
  <ds:schemaRefs/>
</ds:datastoreItem>
</file>

<file path=customXml/itemProps24.xml><?xml version="1.0" encoding="utf-8"?>
<ds:datastoreItem xmlns:ds="http://schemas.openxmlformats.org/officeDocument/2006/customXml" ds:itemID="{DEB8D8EE-66AD-4E60-AEC3-9A9AF2EE1FD6}">
  <ds:schemaRefs/>
</ds:datastoreItem>
</file>

<file path=customXml/itemProps25.xml><?xml version="1.0" encoding="utf-8"?>
<ds:datastoreItem xmlns:ds="http://schemas.openxmlformats.org/officeDocument/2006/customXml" ds:itemID="{71D70EAC-D10E-4191-9280-D4F6D41E3FE4}">
  <ds:schemaRefs/>
</ds:datastoreItem>
</file>

<file path=customXml/itemProps26.xml><?xml version="1.0" encoding="utf-8"?>
<ds:datastoreItem xmlns:ds="http://schemas.openxmlformats.org/officeDocument/2006/customXml" ds:itemID="{AAECC3FA-526D-44EB-9556-64E08A15A5CD}">
  <ds:schemaRefs/>
</ds:datastoreItem>
</file>

<file path=customXml/itemProps27.xml><?xml version="1.0" encoding="utf-8"?>
<ds:datastoreItem xmlns:ds="http://schemas.openxmlformats.org/officeDocument/2006/customXml" ds:itemID="{B3248D36-430E-477A-91C3-5243983B72B6}">
  <ds:schemaRefs/>
</ds:datastoreItem>
</file>

<file path=customXml/itemProps28.xml><?xml version="1.0" encoding="utf-8"?>
<ds:datastoreItem xmlns:ds="http://schemas.openxmlformats.org/officeDocument/2006/customXml" ds:itemID="{C5878BA6-AA3C-47C2-B77A-E94C16E2994D}">
  <ds:schemaRefs/>
</ds:datastoreItem>
</file>

<file path=customXml/itemProps29.xml><?xml version="1.0" encoding="utf-8"?>
<ds:datastoreItem xmlns:ds="http://schemas.openxmlformats.org/officeDocument/2006/customXml" ds:itemID="{DA1155C7-3EDF-47FB-AE67-BA0D6D4964AD}">
  <ds:schemaRefs/>
</ds:datastoreItem>
</file>

<file path=customXml/itemProps30.xml><?xml version="1.0" encoding="utf-8"?>
<ds:datastoreItem xmlns:ds="http://schemas.openxmlformats.org/officeDocument/2006/customXml" ds:itemID="{AC1D8A4E-164B-4320-9517-3982E43977EE}">
  <ds:schemaRefs/>
</ds:datastoreItem>
</file>

<file path=customXml/itemProps31.xml><?xml version="1.0" encoding="utf-8"?>
<ds:datastoreItem xmlns:ds="http://schemas.openxmlformats.org/officeDocument/2006/customXml" ds:itemID="{E75ECD3C-F01C-4A4D-B0B4-95E0B490D54A}">
  <ds:schemaRefs/>
</ds:datastoreItem>
</file>

<file path=customXml/itemProps32.xml><?xml version="1.0" encoding="utf-8"?>
<ds:datastoreItem xmlns:ds="http://schemas.openxmlformats.org/officeDocument/2006/customXml" ds:itemID="{125B3FC2-682A-481D-9BA3-5F8B7A791DC6}">
  <ds:schemaRefs/>
</ds:datastoreItem>
</file>

<file path=customXml/itemProps33.xml><?xml version="1.0" encoding="utf-8"?>
<ds:datastoreItem xmlns:ds="http://schemas.openxmlformats.org/officeDocument/2006/customXml" ds:itemID="{E5B03A24-14C9-4FF0-8E27-2AEC42A65D74}">
  <ds:schemaRefs/>
</ds:datastoreItem>
</file>

<file path=customXml/itemProps34.xml><?xml version="1.0" encoding="utf-8"?>
<ds:datastoreItem xmlns:ds="http://schemas.openxmlformats.org/officeDocument/2006/customXml" ds:itemID="{E9CC19F1-EAF9-4AF7-9514-1212A8A30F01}">
  <ds:schemaRefs/>
</ds:datastoreItem>
</file>

<file path=customXml/itemProps35.xml><?xml version="1.0" encoding="utf-8"?>
<ds:datastoreItem xmlns:ds="http://schemas.openxmlformats.org/officeDocument/2006/customXml" ds:itemID="{FD1C39E4-0439-4A44-8836-4CA932D83DC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AG</vt:lpstr>
      <vt:lpstr>COAH</vt:lpstr>
      <vt:lpstr>COA</vt:lpstr>
      <vt:lpstr>CCF</vt:lpstr>
      <vt:lpstr>JB</vt:lpstr>
      <vt:lpstr>GJ</vt:lpstr>
      <vt:lpstr>LA</vt:lpstr>
      <vt:lpstr>IS</vt:lpstr>
      <vt:lpstr>BS</vt:lpstr>
      <vt:lpstr>CF</vt:lpstr>
      <vt:lpstr>EQ</vt:lpstr>
      <vt:lpstr>Date</vt:lpstr>
      <vt:lpstr>Setting</vt:lpstr>
      <vt:lpstr>AccGroup</vt:lpstr>
      <vt:lpstr>accHeader</vt:lpstr>
      <vt:lpstr>AccNumber</vt:lpstr>
      <vt:lpstr>accountCode</vt:lpstr>
      <vt:lpstr>BatchNumber</vt:lpstr>
      <vt:lpstr>CFNumber</vt:lpstr>
      <vt:lpstr>endDate</vt:lpstr>
      <vt:lpstr>normalBalance</vt:lpstr>
      <vt:lpstr>setAlamatPerusahaan</vt:lpstr>
      <vt:lpstr>setNamaPerusahaan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Cheries</dc:creator>
  <cp:lastModifiedBy>nomen</cp:lastModifiedBy>
  <dcterms:created xsi:type="dcterms:W3CDTF">2018-08-17T05:06:46Z</dcterms:created>
  <dcterms:modified xsi:type="dcterms:W3CDTF">2021-09-17T06:22:30Z</dcterms:modified>
</cp:coreProperties>
</file>